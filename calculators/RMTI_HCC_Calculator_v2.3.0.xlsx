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ow to Use" sheetId="2" state="visible" r:id="rId4"/>
    <sheet name="RMTI Calculator" sheetId="3" state="visible" r:id="rId5"/>
    <sheet name="Trajectory" sheetId="4" state="visible" r:id="rId6"/>
    <sheet name="ALBI to Vulnerability" sheetId="5" state="visible" r:id="rId7"/>
    <sheet name="Reference" sheetId="6" state="visible" r:id="rId8"/>
    <sheet name="Data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<sst xmlns="http://schemas.openxmlformats.org/spreadsheetml/2006/main" count="329" uniqueCount="292">
  <si>
    <t xml:space="preserve">RMTI–HCC  ·  Triage &amp; Evidence-Grading Calculator  (v2.3.0)</t>
  </si>
  <si>
    <t xml:space="preserve">Risk Mechanism Theory Index, adapted for hepatocellular-carcinoma surveillance — a single, auditable score from likelihood, exposure, vulnerability and resilience.</t>
  </si>
  <si>
    <t xml:space="preserve">The model at a glance</t>
  </si>
  <si>
    <t xml:space="preserve">Core score (Eq. 1–2)</t>
  </si>
  <si>
    <t xml:space="preserve">R = IR × (1−ρ) = L · E · V · (1−ρ)      — residual risk, bounded [0,1]</t>
  </si>
  <si>
    <t xml:space="preserve">Multi-hazard, multi-category (Eq. 3/5)</t>
  </si>
  <si>
    <t xml:space="preserve">R = Σₕ Σ_c w_c · L_h · E_hc · V_hc · (1−ρ_hc)      — category weights sum to 1. Implemented in RMTI-Py 2.3.0 (shared core); this workbook implements the single-insult form above.</t>
  </si>
  <si>
    <t xml:space="preserve">Exposure from N (Eq. 4)</t>
  </si>
  <si>
    <t xml:space="preserve">E-log = [log₁₀(N) − log₁₀(Nmin)] / [log₁₀(Nmax) − log₁₀(Nmin)],  Nmin = 100, Nmax = 5,000,000 (HCC bounds, same as RMTI-Py). Advisory helper only.</t>
  </si>
  <si>
    <t xml:space="preserve">Severity layer (Eq. 5–6)</t>
  </si>
  <si>
    <t xml:space="preserve">EAL = L · C · (1−ρ)      — carries consequence through, where a probability-only metric would suppress it</t>
  </si>
  <si>
    <t xml:space="preserve">Per-capita equity (Eq. 7)</t>
  </si>
  <si>
    <t xml:space="preserve">Rate = EAL ÷ N × 1,000,000      — events-equivalent per 1,000,000 at-risk patients (RMTI-Py equity_per_1M)</t>
  </si>
  <si>
    <t xml:space="preserve">Fixed tiers</t>
  </si>
  <si>
    <t xml:space="preserve">1 Low R&lt;0.05  ·  2 Moderate 0.05–0.15  ·  3 High 0.15–0.35  ·  4 Severe 0.35–0.60  ·  5 Critical R≥0.60</t>
  </si>
  <si>
    <t xml:space="preserve">What’s inside</t>
  </si>
  <si>
    <t xml:space="preserve">•  How to Use — step-by-step input guide, plus the within-tier EAL walk-through (Patients A &amp; B).</t>
  </si>
  <si>
    <t xml:space="preserve">•  RMTI Calculator — all 12 worked cohorts from the paper (Tables 2 &amp; 3) and Patients A &amp; B, auto-calculating; add your own below.</t>
  </si>
  <si>
    <t xml:space="preserve">•  ALBI → Vulnerability — compute V from measured albumin/bilirubin (patient-level) or a grade distribution (cohort-level, reproduces Table 1a).</t>
  </si>
  <si>
    <t xml:space="preserve">•  Reference — bounds, fixed tiers with HCC surveillance posture, consequence/BCLC ladder, resilience ladder, Table 4 indicator backbone.</t>
  </si>
  <si>
    <t xml:space="preserve">•  Data sources — what each number is anchored to, and what remains a pre-specified working calibration.</t>
  </si>
  <si>
    <t xml:space="preserve">•  Trajectory — experimental time-indexed V(t) and ρ(t) per surveillance cycle, with two synthetic examples (not validated).</t>
  </si>
  <si>
    <t xml:space="preserve">What changed from the v1 workbook (aligned to RMTI-Py 2.3.0; items below date from v2.1.0)</t>
  </si>
  <si>
    <t xml:space="preserve">Item</t>
  </si>
  <si>
    <t xml:space="preserve">Change</t>
  </si>
  <si>
    <t xml:space="preserve">Wording</t>
  </si>
  <si>
    <t xml:space="preserve">Posture text is now in oncology (surveillance-programme) vocabulary; Tier 1 and Tier 2 are worded differently.</t>
  </si>
  <si>
    <t xml:space="preserve">Population bounds</t>
  </si>
  <si>
    <t xml:space="preserve">Nmin/Nmax 10 / 650,000 → 100 / 5,000,000 (the Python HCC bounds). Only the advisory E-log column moves; R, tier and EAL are unaffected.</t>
  </si>
  <si>
    <t xml:space="preserve">Per-capita unit</t>
  </si>
  <si>
    <t xml:space="preserve">EAL ÷ N × 100,000 → EAL ÷ N × 1,000,000 (the Python unit). Numerically 10× the old values.</t>
  </si>
  <si>
    <t xml:space="preserve">ALBI cohort counts</t>
  </si>
  <si>
    <t xml:space="preserve">HCC cohort grade counts corrected from 9/19/1 to 10/18/1 (V = 0.522, matching Table 1a and the Python test suite); v1 gave 0.531 and explained the gap as rounding.</t>
  </si>
  <si>
    <t xml:space="preserve">Ranking and rounding</t>
  </si>
  <si>
    <t xml:space="preserve">EAL is rounded to 3 decimals and Priority ranks on it (as in RMTI-Py). Tier, Δ risk and IEI unchanged in definition.</t>
  </si>
  <si>
    <t xml:space="preserve">New columns</t>
  </si>
  <si>
    <t xml:space="preserve">Improvement efficiency (IEI), E-log helper and both posture columns are now on the calculator sheet.</t>
  </si>
  <si>
    <t xml:space="preserve">Built from Marolla, “The Risk Mechanism Theory Index (RMTI) as a Triage and Evidence-Grading Layer for Hepatocellular-Carcinoma Surveillance” (manuscript). Equations, anchors and cohort data are reproduced from the paper and the RMTI-Py reference implementation (version 2.3.0). Licensed under the Apache License, Version 2.0 (see LICENSE and NOTICE in the repository). Copyright 2026 Cesar Marolla (ORCID 0000-0001-8498-7380). Provided "as is", without warranty. Decision-support illustration; not validated for clinical use (see Limitations).</t>
  </si>
  <si>
    <t xml:space="preserve">How to use the RMTI–HCC Calculator</t>
  </si>
  <si>
    <t xml:space="preserve">Type into the warm-shaded (blue-text) cells only. Everything else recalculates automatically.</t>
  </si>
  <si>
    <t xml:space="preserve">Step 1 — Enter the inputs (warm cells)</t>
  </si>
  <si>
    <t xml:space="preserve">L · Likelihood</t>
  </si>
  <si>
    <t xml:space="preserve">Annualized HCC probability, supplied by a validated score (aMAP, THRI, hccrisk.com) — not re-derived here, 0–1.</t>
  </si>
  <si>
    <t xml:space="preserve">E · Exposure</t>
  </si>
  <si>
    <t xml:space="preserve">Share of the at-risk population in the active surveillance footprint, 0–1. Programme-level rubric, or copy the E-log helper column.</t>
  </si>
  <si>
    <t xml:space="preserve">V · Vulnerability</t>
  </si>
  <si>
    <t xml:space="preserve">Liver-reserve sensitivity to a missed diagnosis, from ALBI grade (see the ALBI → Vulnerability sheet), 0–1.</t>
  </si>
  <si>
    <t xml:space="preserve">ρ now / ρ after</t>
  </si>
  <si>
    <t xml:space="preserve">Resilience — fraction of inherent risk the surveillance programme absorbs, before/after an improvement package, 0–1. Enters as (1−ρ).</t>
  </si>
  <si>
    <t xml:space="preserve">C · Consequence (1–5)</t>
  </si>
  <si>
    <t xml:space="preserve">Severity if a tumour is missed: 1 Insignificant → 5 Severe, anchored to BCLC stage at detection. Maps to 0–1 for EAL.</t>
  </si>
  <si>
    <t xml:space="preserve">N · At-risk patients</t>
  </si>
  <si>
    <t xml:space="preserve">At-risk population or registry size. Drives the per-capita column and the advisory E-log column only — never R, tier or EAL directly.</t>
  </si>
  <si>
    <t xml:space="preserve">Step 2 — Read the results (auto-calculated)</t>
  </si>
  <si>
    <t xml:space="preserve">Inherent risk (IR)</t>
  </si>
  <si>
    <t xml:space="preserve">L · E · V — risk before resilience is applied (Eq. 1).</t>
  </si>
  <si>
    <t xml:space="preserve">R now / R after</t>
  </si>
  <si>
    <t xml:space="preserve">IR × (1−ρ) — the residual decision score, bounded 0–1 (Eq. 2).</t>
  </si>
  <si>
    <t xml:space="preserve">Tier and posture</t>
  </si>
  <si>
    <t xml:space="preserve">Maps R to the fixed 1–5 band — same thresholds for every patient, every run — and reports the surveillance posture for that tier.</t>
  </si>
  <si>
    <t xml:space="preserve">Δ risk</t>
  </si>
  <si>
    <t xml:space="preserve">Percentage cut in R from the surveillance-improvement package.</t>
  </si>
  <si>
    <t xml:space="preserve">EAL now / after</t>
  </si>
  <si>
    <t xml:space="preserve">L · C · (1−ρ) — expected-loss index that carries severity through (Eq. 6).</t>
  </si>
  <si>
    <t xml:space="preserve">Per-capita rate</t>
  </si>
  <si>
    <t xml:space="preserve">EAL ÷ N, per 1,000,000 at-risk patients — the equity lens (Eq. 7).</t>
  </si>
  <si>
    <t xml:space="preserve">Priority (in tier)</t>
  </si>
  <si>
    <t xml:space="preserve">Rank within the same tier by EAL — the case with more to lose in consequence outranks one with only marginally higher R.</t>
  </si>
  <si>
    <t xml:space="preserve">IEI</t>
  </si>
  <si>
    <t xml:space="preserve">Improvement efficiency = Δ risk ÷ (1 − ρ after).</t>
  </si>
  <si>
    <t xml:space="preserve">Worked walk-through — within-tier EAL example</t>
  </si>
  <si>
    <t xml:space="preserve">Patient A — post-SVR HCV, preserved reserve: L=0.30, E=0.60, V=0.50, ρ=0.20, C=2 (Minor, 0.30)</t>
  </si>
  <si>
    <t xml:space="preserve">   R = 0.30 × 0.60 × 0.50 × 0.80 = 0.072 (2 Moderate)   →   EAL = 0.30 × 0.30 × 0.80 = 0.072</t>
  </si>
  <si>
    <t xml:space="preserve">Patient B — alcohol-related, marginal reserve: L=0.25, E=0.60, V=0.55, ρ=0.20, C=5 (Severe, 1.00)</t>
  </si>
  <si>
    <t xml:space="preserve">   R = 0.25 × 0.60 × 0.55 × 0.80 = 0.066 (2 Moderate)   →   EAL = 0.25 × 1.00 × 0.80 = 0.200</t>
  </si>
  <si>
    <t xml:space="preserve">On R alone, A outranks B. But EAL reverses the within-tier order — B’s tumour, if missed, presents advanced and fatal; A’s presents early and curable.</t>
  </si>
  <si>
    <t xml:space="preserve">This is exactly the Priority (in tier) column in the RMTI Calculator sheet: same tier, ranked by EAL.</t>
  </si>
  <si>
    <t xml:space="preserve">RMTI–HCC Calculator v2.3.0 — cohort and patient triage</t>
  </si>
  <si>
    <t xml:space="preserve">Inputs are the warm-shaded cells with blue text; grey columns auto-calculate. Rows 5–10 reproduce Table 2 (published cohorts); rows 11–16 reproduce Table 3 (Pearl-protocol aetiologies); rows 17–18 are the Patient A/B within-tier EAL walk-through. Add your own patients or cohorts from row 19 down (formulas are pre-filled to row 56).</t>
  </si>
  <si>
    <t xml:space="preserve">Cohort / patient</t>
  </si>
  <si>
    <t xml:space="preserve">Source</t>
  </si>
  <si>
    <t xml:space="preserve">Aetiology (annual incidence)</t>
  </si>
  <si>
    <t xml:space="preserve">N (at-risk patients)</t>
  </si>
  <si>
    <t xml:space="preserve">L</t>
  </si>
  <si>
    <t xml:space="preserve">E</t>
  </si>
  <si>
    <t xml:space="preserve">V</t>
  </si>
  <si>
    <t xml:space="preserve">ρ now</t>
  </si>
  <si>
    <t xml:space="preserve">ρ after</t>
  </si>
  <si>
    <t xml:space="preserve">C (1–5)</t>
  </si>
  <si>
    <t xml:space="preserve">C (0–1)</t>
  </si>
  <si>
    <t xml:space="preserve">Inherent
L·E·V</t>
  </si>
  <si>
    <t xml:space="preserve">R now</t>
  </si>
  <si>
    <t xml:space="preserve">Tier now</t>
  </si>
  <si>
    <t xml:space="preserve">R after</t>
  </si>
  <si>
    <t xml:space="preserve">Tier after</t>
  </si>
  <si>
    <t xml:space="preserve">EAL now</t>
  </si>
  <si>
    <t xml:space="preserve">EAL after</t>
  </si>
  <si>
    <t xml:space="preserve">Per-capita now
(EAL per 1,000,000)</t>
  </si>
  <si>
    <t xml:space="preserve">Priority
(in tier)</t>
  </si>
  <si>
    <t xml:space="preserve">Improvement
efficiency (IEI)</t>
  </si>
  <si>
    <t xml:space="preserve">E-log (advisory)</t>
  </si>
  <si>
    <t xml:space="preserve">Surveillance posture — now</t>
  </si>
  <si>
    <t xml:space="preserve">Surveillance posture — after</t>
  </si>
  <si>
    <t xml:space="preserve">Untreated HBV</t>
  </si>
  <si>
    <t xml:space="preserve">Table 2</t>
  </si>
  <si>
    <t xml:space="preserve">~12.8%/yr (historical)</t>
  </si>
  <si>
    <t xml:space="preserve">Active viral cirrhosis</t>
  </si>
  <si>
    <t xml:space="preserve">2-7%/yr</t>
  </si>
  <si>
    <t xml:space="preserve">Alcohol cirrhosis</t>
  </si>
  <si>
    <t xml:space="preserve">1-2.5%/yr</t>
  </si>
  <si>
    <t xml:space="preserve">Cured-HCV cirrhosis</t>
  </si>
  <si>
    <t xml:space="preserve">~1.8%/yr</t>
  </si>
  <si>
    <t xml:space="preserve">Suppressed-HBV</t>
  </si>
  <si>
    <t xml:space="preserve">~1.25%/yr</t>
  </si>
  <si>
    <t xml:space="preserve">NAFLD cirrhosis</t>
  </si>
  <si>
    <t xml:space="preserve">~1.06%/yr</t>
  </si>
  <si>
    <t xml:space="preserve">MASLD cirrhosis (compensated)</t>
  </si>
  <si>
    <t xml:space="preserve">Table 3</t>
  </si>
  <si>
    <t xml:space="preserve">~1.0%/yr</t>
  </si>
  <si>
    <t xml:space="preserve">Suppressed HBV</t>
  </si>
  <si>
    <t xml:space="preserve">HCV post-SVR</t>
  </si>
  <si>
    <t xml:space="preserve">Alcohol cirrhosis (Pearl)</t>
  </si>
  <si>
    <t xml:space="preserve">~2%/yr</t>
  </si>
  <si>
    <t xml:space="preserve">Active viral (Pearl)</t>
  </si>
  <si>
    <t xml:space="preserve">High-burden MASLD</t>
  </si>
  <si>
    <t xml:space="preserve">~5%/yr</t>
  </si>
  <si>
    <t xml:space="preserve">Patient A — post-SVR HCV, preserved reserve</t>
  </si>
  <si>
    <t xml:space="preserve">Worked example</t>
  </si>
  <si>
    <t xml:space="preserve">~30% (illustrative)</t>
  </si>
  <si>
    <t xml:space="preserve">Patient B — alcohol-related, marginal reserve</t>
  </si>
  <si>
    <t xml:space="preserve">~25% (illustrative)</t>
  </si>
  <si>
    <t xml:space="preserve">Notes:  ρ-after values for Table 2 rows are back-solved to reproduce the paper’s published R-after column (the source paper does not report a per-cohort ρ-after independently) — treat as illustrative post-improvement resilience. Table 3 rows use the paper’s explicit ρ 0.20 → 0.65 pathway for all aetiologies. C is set to 5 (Severe, BCLC C–D) as an illustrative default for every published-cohort row — the source tables do not specify stage at detection per cohort; edit C to reflect your own population’s typical presentation. Do not edit column K (auto-converted from column J). Rows 17–18 (Patients A and B) reproduce the within-tier EAL walk-through: both sit in the Moderate R-tier, but EAL and Priority rank Patient B first — same tier, more to lose. ρ after equals ρ now for those two rows because the example illustrates one point in time, so Δ risk reads 0% by construction. EAL is rounded to 3 decimals and Priority ranks on that rounded value, as in RMTI-Py; ties on EAL are broken by row order, so every priority number is unique within its tier. Per-capita is EAL ÷ N × 1,000,000; E-log uses the Reference-sheet bounds (100 to 5,000,000) and is advisory only — it never enters R, tier or EAL. Improvement efficiency (IEI) = Δ risk ÷ (1 − ρ after); above 1 means the improvement removes more risk than the exposure it leaves behind.</t>
  </si>
  <si>
    <t xml:space="preserve">Decision-support illustration; not validated for clinical use. Posture text is a surveillance-programme reading, not a treatment recommendation.</t>
  </si>
  <si>
    <t xml:space="preserve">Trajectory — time-indexed V(t) and ρ(t)   (experimental extension, not in the paper)</t>
  </si>
  <si>
    <t xml:space="preserve">Warm cells with blue text are inputs; grey cells calculate. One row per six-monthly surveillance cycle, filled in order from t = 0; leave unused trailing rows blank. Both example patients are SYNTHETIC. Research prototype: not validated, not for patient-care decisions.</t>
  </si>
  <si>
    <t xml:space="preserve">Model parameters (shared by both blocks)</t>
  </si>
  <si>
    <t xml:space="preserve">v_lo — V at AL = 0</t>
  </si>
  <si>
    <t xml:space="preserve">ALBI grade-1 anchor (see ALBI → Vulnerability sheet).</t>
  </si>
  <si>
    <t xml:space="preserve">v_hi — V at AL = AL_max</t>
  </si>
  <si>
    <t xml:space="preserve">ALBI grade-3 anchor.</t>
  </si>
  <si>
    <t xml:space="preserve">AL_max</t>
  </si>
  <si>
    <t xml:space="preserve">Top of the six-biomarker allostatic-load composite (Abad et al. 2026). Use 13 for the Li et al. version.</t>
  </si>
  <si>
    <t xml:space="preserve">α — level gain</t>
  </si>
  <si>
    <t xml:space="preserve">Steady-state Kalman gain for noise settings q_level 0.05, q_slope 0.01, r_obs 0.8. Uncalibrated.</t>
  </si>
  <si>
    <t xml:space="preserve">β — slope gain</t>
  </si>
  <si>
    <t xml:space="preserve">Steady-state Kalman slope gain, same settings. Uncalibrated.</t>
  </si>
  <si>
    <t xml:space="preserve">κ·H — look-ahead (cycles)</t>
  </si>
  <si>
    <t xml:space="preserve">Weight on the slope in V*(t). Uncalibrated; the synthetic comparison in the PDF used 2.0.</t>
  </si>
  <si>
    <t xml:space="preserve">λ — adherence → ρ</t>
  </si>
  <si>
    <t xml:space="preserve">ρ(t) = ρ(t−1) + λ·ΔAdherence. Placeholder chosen so the examples reproduce the draft. Must be estimated from real serial data; do NOT calibrate it on the back-solved ρ-after values in the RMTI Calculator.</t>
  </si>
  <si>
    <t xml:space="preserve">ρ ceiling</t>
  </si>
  <si>
    <t xml:space="preserve">Modeling ceiling (core rejects ρ ≥ 1).</t>
  </si>
  <si>
    <t xml:space="preserve">Filter on (1) / off (0)</t>
  </si>
  <si>
    <t xml:space="preserve">0 = use the observed AL directly (draft Eq. 4, memoryless). 1 = use filtered level + κ·H × slope.</t>
  </si>
  <si>
    <t xml:space="preserve">Synthetic example T-A — AL falling, adherence rising</t>
  </si>
  <si>
    <t xml:space="preserve">L — likelihood (from a validated score)</t>
  </si>
  <si>
    <t xml:space="preserve">E — exposure</t>
  </si>
  <si>
    <t xml:space="preserve">C — consequence (1–5), shown for EAL only</t>
  </si>
  <si>
    <t xml:space="preserve">ρ at t = 0</t>
  </si>
  <si>
    <t xml:space="preserve">Cycle t</t>
  </si>
  <si>
    <t xml:space="preserve">AL observed (0–AL_max)</t>
  </si>
  <si>
    <t xml:space="preserve">Adherence (0–1)</t>
  </si>
  <si>
    <t xml:space="preserve">AL level (filtered)</t>
  </si>
  <si>
    <t xml:space="preserve">AL slope / cycle</t>
  </si>
  <si>
    <t xml:space="preserve">V*(t)</t>
  </si>
  <si>
    <t xml:space="preserve">ρ(t)</t>
  </si>
  <si>
    <t xml:space="preserve">R(t)</t>
  </si>
  <si>
    <t xml:space="preserve">Tier</t>
  </si>
  <si>
    <t xml:space="preserve">ΔR vs previous</t>
  </si>
  <si>
    <t xml:space="preserve">Surveillance posture</t>
  </si>
  <si>
    <t xml:space="preserve">Synthetic example T-B — AL rising, adherence flat</t>
  </si>
  <si>
    <t xml:space="preserve">Notes</t>
  </si>
  <si>
    <t xml:space="preserve">How to read it. With the filter OFF (cell B13 = 0) the sheet reproduces the draft's Eq. 4–6 table exactly (A: 0.081, 0.055, 0.042, 0.031; B: 0.081, 0.094, 0.113, 0.127). With it ON, V*(t) uses the filtered level plus κ·H × slope, which damps single-visit noise and reacts to direction of change.</t>
  </si>
  <si>
    <t xml:space="preserve">A missed visit: leave AL blank and keep the adherence entry; the filter carries its prediction forward. Do not leave a blank row between filled rows.</t>
  </si>
  <si>
    <t xml:space="preserve">Tier and posture come from the same Reference tables as the RMTI Calculator. R is rounded to 12 dp before lookup, as in the Calculator sheet.</t>
  </si>
  <si>
    <t xml:space="preserve">Status: α, β, κ·H and λ are uncalibrated placeholders. Whether trajectory adds information beyond the current level is an open, testable hypothesis (see docs/TRAJECTORY_GUIDE.md). Not validated against incident HCC.</t>
  </si>
  <si>
    <t xml:space="preserve">Not included: the social-determinants modifier (draft Eq. 7), because its coefficients are uncalibrated, and a time-varying L(t); add them once calibration data exist.</t>
  </si>
  <si>
    <t xml:space="preserve">Licence: Apache License 2.0. Research prototype for educational and research use only; not a medical device, not clinically validated. Do not enter patient-identifiable information.</t>
  </si>
  <si>
    <t xml:space="preserve">ALBI → Vulnerability</t>
  </si>
  <si>
    <t xml:space="preserve">Two ways to get V. Patient-level: compute ALBI directly from measured albumin/bilirubin. Cohort-level: reproduces Table 1a’s enrolment-weighted mean from a grade distribution.</t>
  </si>
  <si>
    <t xml:space="preserve">A — Patient-level (edit the warm cells)</t>
  </si>
  <si>
    <t xml:space="preserve">Standard ALBI formula (Johnson et al., J Clin Oncol 2015;33:550–558) — not from the RMTI paper itself, added here as a convenience so V can be computed from raw labs.</t>
  </si>
  <si>
    <t xml:space="preserve">Albumin (g/L)</t>
  </si>
  <si>
    <t xml:space="preserve">Total bilirubin (µmol/L)</t>
  </si>
  <si>
    <t xml:space="preserve">ALBI score = log10(bilirubin) × 0.66 + albumin × (−0.085)</t>
  </si>
  <si>
    <t xml:space="preserve">ALBI grade (1/2/3)</t>
  </si>
  <si>
    <t xml:space="preserve">Vulnerability (V)</t>
  </si>
  <si>
    <t xml:space="preserve">← use this value as V in the RMTI Calculator sheet</t>
  </si>
  <si>
    <t xml:space="preserve">B — Cohort-level (reproduces Table 1a, from the Faria et al. cohort)</t>
  </si>
  <si>
    <t xml:space="preserve">ALBI_V anchors: Grade 1 = 0.35, Grade 2 = 0.60, Grade 3 = 0.85.  V = Σ f_g · V_g.</t>
  </si>
  <si>
    <t xml:space="preserve">Cohort</t>
  </si>
  <si>
    <t xml:space="preserve">n grade 1</t>
  </si>
  <si>
    <t xml:space="preserve">n grade 2</t>
  </si>
  <si>
    <t xml:space="preserve">n grade 3</t>
  </si>
  <si>
    <t xml:space="preserve">n total</t>
  </si>
  <si>
    <t xml:space="preserve">V (cohort mean)</t>
  </si>
  <si>
    <t xml:space="preserve">HCC (n=29)</t>
  </si>
  <si>
    <t xml:space="preserve">Cirrhosis (n=25)</t>
  </si>
  <si>
    <t xml:space="preserve">Expected: V = 0.52 for the HCC cohort and V = 0.48 for the cirrhosis cohort (Table 1a). Correction in v2.1.0: the v1 workbook entered the HCC grade counts as 9/19/1 (V = 0.531) and described the gap to 0.52 as rounding; the counts 10/18/1 correspond to the 35/62/4% grade shares and reproduce 0.52 directly, matching the RMTI-Py test suite. Please confirm the counts against the source cohort.</t>
  </si>
  <si>
    <t xml:space="preserve">Reference tables</t>
  </si>
  <si>
    <t xml:space="preserve">Exposure anchors and per-capita scale (Eq. 4 and 7) — same as RMTI-Py oncology module</t>
  </si>
  <si>
    <t xml:space="preserve">Nmin</t>
  </si>
  <si>
    <t xml:space="preserve">smallest plausible at-risk cohort (RMTI-Py N_MIN_HCC)</t>
  </si>
  <si>
    <t xml:space="preserve">Nmax</t>
  </si>
  <si>
    <t xml:space="preserve">national-scale at-risk cirrhosis population ceiling (RMTI-Py N_MAX_HCC). Changed in v2.1.0 from 10 / 650,000 so the workbook, the Python package and the sandbox share one set of bounds.</t>
  </si>
  <si>
    <t xml:space="preserve">Per-capita scale k</t>
  </si>
  <si>
    <t xml:space="preserve">Per-capita rate = EAL ÷ N × k, reported per 1,000,000 at-risk patients (RMTI-Py equity_per_1M). Changed in v2.1.0 from per 100,000.</t>
  </si>
  <si>
    <t xml:space="preserve">Fixed scoring tiers and surveillance posture (identical for every patient, every run)</t>
  </si>
  <si>
    <t xml:space="preserve">R ≥ (lower bound)</t>
  </si>
  <si>
    <t xml:space="preserve">Posture — HCC surveillance vocabulary (RMTI-Py HCC_TIER_POSTURE)</t>
  </si>
  <si>
    <t xml:space="preserve">1 · Low</t>
  </si>
  <si>
    <t xml:space="preserve">Monitor; usual-care biannual surveillance appropriate</t>
  </si>
  <si>
    <t xml:space="preserve">2 · Moderate</t>
  </si>
  <si>
    <t xml:space="preserve">Usual-care biannual surveillance appropriate; confirm adherence and recall</t>
  </si>
  <si>
    <t xml:space="preserve">3 · High</t>
  </si>
  <si>
    <t xml:space="preserve">Prioritise for surveillance; fixed-interval adherence essential</t>
  </si>
  <si>
    <t xml:space="preserve">4 · Severe</t>
  </si>
  <si>
    <t xml:space="preserve">Structured navigation; close specialist hepatology follow-up</t>
  </si>
  <si>
    <t xml:space="preserve">5 · Critical</t>
  </si>
  <si>
    <t xml:space="preserve">Immediate, resourced pathway; case management</t>
  </si>
  <si>
    <t xml:space="preserve">Bands: 1 Low R &lt; 0.05 · 2 Moderate 0.05–0.15 · 3 High 0.15–0.35 · 4 Severe 0.35–0.60 · 5 Critical R ≥ 0.60. Posture text describes how intensively the surveillance programme is engaged; it is a decision-support reading, not a treatment recommendation. Tier 2 wording differs from Tier 1 as of v2.1.0 (both read identically in v1).</t>
  </si>
  <si>
    <t xml:space="preserve">Consequence scale (C) — BCLC-anchored severity ladder</t>
  </si>
  <si>
    <t xml:space="preserve">Severity → 0–1</t>
  </si>
  <si>
    <t xml:space="preserve">BCLC stage / treatment intent</t>
  </si>
  <si>
    <t xml:space="preserve">1 · Insignificant</t>
  </si>
  <si>
    <t xml:space="preserve">Very-early (BCLC 0); ablation, curative, negligible survival effect</t>
  </si>
  <si>
    <t xml:space="preserve">2 · Minor</t>
  </si>
  <si>
    <t xml:space="preserve">Early (BCLC A), within Milan; resection/transplant/ablation, 5-yr survival &gt;70%</t>
  </si>
  <si>
    <t xml:space="preserve">3 · Moderate</t>
  </si>
  <si>
    <t xml:space="preserve">Early–intermediate; curative-intent but constrained, reduced survival</t>
  </si>
  <si>
    <t xml:space="preserve">4 · Major</t>
  </si>
  <si>
    <t xml:space="preserve">Intermediate (BCLC B); TACE, non-curative, markedly reduced survival</t>
  </si>
  <si>
    <t xml:space="preserve">5 · Severe</t>
  </si>
  <si>
    <t xml:space="preserve">Advanced/terminal (BCLC C–D); systemic therapy or BSC, median survival &lt;1yr</t>
  </si>
  <si>
    <t xml:space="preserve">Resilience ladder (ρ) — published surveillance-effectiveness anchors (advisory reference points, not a lookup)</t>
  </si>
  <si>
    <t xml:space="preserve">Category</t>
  </si>
  <si>
    <t xml:space="preserve">ρ</t>
  </si>
  <si>
    <t xml:space="preserve">Meaning</t>
  </si>
  <si>
    <t xml:space="preserve">none</t>
  </si>
  <si>
    <t xml:space="preserve">No / ad-hoc surveillance</t>
  </si>
  <si>
    <t xml:space="preserve">usual</t>
  </si>
  <si>
    <t xml:space="preserve">Usual care, population-level</t>
  </si>
  <si>
    <t xml:space="preserve">outreach</t>
  </si>
  <si>
    <t xml:space="preserve">Structured outreach ± navigation</t>
  </si>
  <si>
    <t xml:space="preserve">specialist</t>
  </si>
  <si>
    <t xml:space="preserve">Regular specialist hepatology care</t>
  </si>
  <si>
    <t xml:space="preserve">optimised</t>
  </si>
  <si>
    <t xml:space="preserve">Ultrasound + AFP + reliable curative access</t>
  </si>
  <si>
    <t xml:space="preserve">Note (v2.1.0 audit): this ladder is the HCC surveillance-effectiveness ladder (RMTI-Py core ≥ 2.2.0: RHO_ANCHORS_HCC). The general disaster/climate ladder in core (RHO_TYPOLOGY_ANCHORS) uses different advisory values on purpose. Neither is a lookup.</t>
  </si>
  <si>
    <t xml:space="preserve">Table 4 — indicator backbone (disaster-risk RMTI → HCC instantiation)</t>
  </si>
  <si>
    <t xml:space="preserve">RMTIre → E (exposure; raises R)</t>
  </si>
  <si>
    <t xml:space="preserve">RMTIseen → V (raises R)</t>
  </si>
  <si>
    <t xml:space="preserve">RMTIrl → ρ (resilience level; lowers R)</t>
  </si>
  <si>
    <t xml:space="preserve">• Annual HCC incidence by aetiology (feeds L)</t>
  </si>
  <si>
    <t xml:space="preserve">• Reduced hepatic reserve (ALBI/Child-Pugh)</t>
  </si>
  <si>
    <t xml:space="preserve">• Surveillance uptake &amp; adherence</t>
  </si>
  <si>
    <t xml:space="preserve">• Size of at-risk cirrhosis population</t>
  </si>
  <si>
    <t xml:space="preserve">• Metabolic comorbidities (diabetes, MASLD)</t>
  </si>
  <si>
    <t xml:space="preserve">• US + AFP sensitivity, diagnostic quality</t>
  </si>
  <si>
    <t xml:space="preserve">• Aetiological hazard burden (HBV/HCV/alcohol)</t>
  </si>
  <si>
    <t xml:space="preserve">• FIB-4 trajectory, fibrosis progression</t>
  </si>
  <si>
    <t xml:space="preserve">• Access to curative therapy</t>
  </si>
  <si>
    <t xml:space="preserve">• Surveillance footprint; access barriers</t>
  </si>
  <si>
    <t xml:space="preserve">• Socioeconomic barriers to access</t>
  </si>
  <si>
    <t xml:space="preserve">• Care coordination, navigator programmes</t>
  </si>
  <si>
    <t xml:space="preserve">• Competing hazards (non-HCC death, transplant)</t>
  </si>
  <si>
    <t xml:space="preserve">• Competing vulnerability (decompensation)</t>
  </si>
  <si>
    <t xml:space="preserve">• Health-system governance, guideline implementation</t>
  </si>
  <si>
    <t xml:space="preserve">In the software (RMTI-Py 2.3.0) the Table 9.4 backbone maps RMTIre → E, RMTIseen → V and RMTIrl → ρ; likelihood L is supplied by a validated risk score and is not derived here.</t>
  </si>
  <si>
    <t xml:space="preserve">Data sources — what each supports, and what it doesn’t</t>
  </si>
  <si>
    <t xml:space="preserve">The separation is intentional: it shows exactly which inputs are real and which endpoints remain to be validated prospectively.</t>
  </si>
  <si>
    <t xml:space="preserve">What it provides</t>
  </si>
  <si>
    <t xml:space="preserve">What it cannot provide</t>
  </si>
  <si>
    <t xml:space="preserve">Review (incidence &amp; surveillance metrics)</t>
  </si>
  <si>
    <t xml:space="preserve">Annual HCC incidence by aetiology; surveillance uptake, test sensitivity, curative-treatment effect</t>
  </si>
  <si>
    <t xml:space="preserve">Patient-level incident-HCC outcomes</t>
  </si>
  <si>
    <t xml:space="preserve">aMAP / THRI / hccrisk.com</t>
  </si>
  <si>
    <t xml:space="preserve">Externally-validated discrimination, calibration, net benefit; risk-stratified incidence</t>
  </si>
  <si>
    <t xml:space="preserve">Per-patient data to re-fit or re-validate RMTI</t>
  </si>
  <si>
    <t xml:space="preserve">Faria et al. cohort (Harvard Dataverse, doi:10.7910/DVN/A81UVO)</t>
  </si>
  <si>
    <t xml:space="preserve">Measured albumin/bilirubin → ALBI → Vulnerability; biomarker &amp; mortality contrast</t>
  </si>
  <si>
    <t xml:space="preserve">Platelets, AFP, surveillance follow-up, incident HCC</t>
  </si>
  <si>
    <t xml:space="preserve">Singal 2014 meta-analysis; TARGET-HCC</t>
  </si>
  <si>
    <t xml:space="preserve">Surveillance benefit; stage-at-diagnosis and treatment receipt</t>
  </si>
  <si>
    <t xml:space="preserve">Prospective RMTI scoring</t>
  </si>
  <si>
    <t xml:space="preserve">Pearl cohort (UK, n≈3,000)</t>
  </si>
  <si>
    <t xml:space="preserve">Aetiology-stratified incidence anchors for Table 3; the prospective vehicle proposed for validation</t>
  </si>
  <si>
    <t xml:space="preserve">Completed validation — outcomes data not yet mature</t>
  </si>
  <si>
    <t xml:space="preserve">Population bounds (Nmin = 100, Nmax = 5,000,000)</t>
  </si>
  <si>
    <t xml:space="preserve">A pre-specified working range for the advisory E-log helper, shared with RMTI-Py</t>
  </si>
  <si>
    <t xml:space="preserve">An empirical estimate of any specific national at-risk population; the earlier US-based 650,000 ceiling was retired in v2.1.0</t>
  </si>
  <si>
    <t xml:space="preserve">Honest boundary (Limitations): none of the available sources is a prospective at-risk cohort with incident-HCC follow-up. This calculator therefore demonstrates RMTI’s operation on real and protocol-anchored inputs — it does not measure predictive accuracy, and the R score is a decision-weighted triage index, not a validated probability.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</si>
</sst>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%"/>
    <numFmt numFmtId="168" formatCode="0"/>
    <numFmt numFmtId="169" formatCode="0.00"/>
    <numFmt numFmtId="170" formatCode="0.000"/>
    <numFmt numFmtId="171" formatCode="#,##0.00"/>
    <numFmt numFmtId="172" formatCode="0.0"/>
    <numFmt numFmtId="173" formatCode="\+0.000;\-0.000;0.000"/>
    <numFmt numFmtId="17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4534A"/>
      <name val="Arial"/>
      <family val="0"/>
      <charset val="1"/>
    </font>
    <font>
      <sz val="10"/>
      <color rgb="FF6E7F78"/>
      <name val="Arial"/>
      <family val="0"/>
      <charset val="1"/>
    </font>
    <font>
      <b val="true"/>
      <sz val="11"/>
      <color rgb="FF14534A"/>
      <name val="Arial"/>
      <family val="0"/>
      <charset val="1"/>
    </font>
    <font>
      <b val="true"/>
      <sz val="10"/>
      <color rgb="FF20302B"/>
      <name val="Arial"/>
      <family val="0"/>
      <charset val="1"/>
    </font>
    <font>
      <sz val="10"/>
      <color rgb="FF2030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.5"/>
      <color rgb="FF6E7F78"/>
      <name val="Arial"/>
      <family val="0"/>
      <charset val="1"/>
    </font>
    <font>
      <sz val="9.5"/>
      <color rgb="FF6E7F78"/>
      <name val="Arial"/>
      <family val="0"/>
      <charset val="1"/>
    </font>
    <font>
      <b val="true"/>
      <sz val="10.5"/>
      <color rgb="FF1F4E99"/>
      <name val="Arial"/>
      <family val="0"/>
      <charset val="1"/>
    </font>
    <font>
      <sz val="10"/>
      <color rgb="FF1F4E99"/>
      <name val="Arial"/>
      <family val="0"/>
      <charset val="1"/>
    </font>
    <font>
      <sz val="10.5"/>
      <color rgb="FF1F4E99"/>
      <name val="Arial"/>
      <family val="0"/>
      <charset val="1"/>
    </font>
    <font>
      <sz val="10.5"/>
      <color rgb="FF20302B"/>
      <name val="Arial"/>
      <family val="0"/>
      <charset val="1"/>
    </font>
    <font>
      <b val="true"/>
      <sz val="10.5"/>
      <color rgb="FF20302B"/>
      <name val="Arial"/>
      <family val="0"/>
      <charset val="1"/>
    </font>
    <font>
      <sz val="9.5"/>
      <color rgb="FF2030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534A"/>
        <bgColor rgb="FF1F4E99"/>
      </patternFill>
    </fill>
    <fill>
      <patternFill patternType="solid">
        <fgColor rgb="FFFFF6DD"/>
        <bgColor rgb="FFFFF2CC"/>
      </patternFill>
    </fill>
    <fill>
      <patternFill patternType="solid">
        <fgColor rgb="FFEDEFEE"/>
        <bgColor rgb="FFFFF6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CD"/>
      </left>
      <right style="thin">
        <color rgb="FFC9D1CD"/>
      </right>
      <top style="thin">
        <color rgb="FFC9D1CD"/>
      </top>
      <bottom style="thin">
        <color rgb="FFC9D1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4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6B8B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1CD"/>
      <rgbColor rgb="FF6E7F78"/>
      <rgbColor rgb="FF9999FF"/>
      <rgbColor rgb="FF993366"/>
      <rgbColor rgb="FFFFF6DD"/>
      <rgbColor rgb="FFEDEFEE"/>
      <rgbColor rgb="FF660066"/>
      <rgbColor rgb="FFFF8080"/>
      <rgbColor rgb="FF0066CC"/>
      <rgbColor rgb="FFFCE5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CC"/>
      <rgbColor rgb="FF99CCFF"/>
      <rgbColor rgb="FFE6B8B7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34A"/>
      <rgbColor rgb="FF339966"/>
      <rgbColor rgb="FF003300"/>
      <rgbColor rgb="FF333300"/>
      <rgbColor rgb="FF993300"/>
      <rgbColor rgb="FF993366"/>
      <rgbColor rgb="FF1F4E99"/>
      <rgbColor rgb="FF203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1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18" hidden="false" customHeight="true" outlineLevel="0" collapsed="false">
      <c r="B9" s="5" t="s">
        <v>9</v>
      </c>
      <c r="C9" s="6" t="s">
        <v>10</v>
      </c>
    </row>
    <row r="10" customFormat="false" ht="18" hidden="false" customHeight="true" outlineLevel="0" collapsed="false">
      <c r="B10" s="5" t="s">
        <v>11</v>
      </c>
      <c r="C10" s="6" t="s">
        <v>12</v>
      </c>
    </row>
    <row r="11" customFormat="false" ht="18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4" t="s">
        <v>15</v>
      </c>
    </row>
    <row r="14" customFormat="false" ht="15" hidden="false" customHeight="true" outlineLevel="0" collapsed="false">
      <c r="B14" s="7" t="s">
        <v>16</v>
      </c>
    </row>
    <row r="15" customFormat="false" ht="15" hidden="false" customHeight="true" outlineLevel="0" collapsed="false">
      <c r="B15" s="7" t="s">
        <v>17</v>
      </c>
    </row>
    <row r="16" customFormat="false" ht="15" hidden="false" customHeight="true" outlineLevel="0" collapsed="false">
      <c r="B16" s="7" t="s">
        <v>18</v>
      </c>
    </row>
    <row r="17" customFormat="false" ht="15" hidden="false" customHeight="true" outlineLevel="0" collapsed="false">
      <c r="B17" s="7" t="s">
        <v>19</v>
      </c>
    </row>
    <row r="18" customFormat="false" ht="15" hidden="false" customHeight="true" outlineLevel="0" collapsed="false">
      <c r="B18" s="7" t="s">
        <v>20</v>
      </c>
    </row>
    <row r="19" customFormat="false" ht="15" hidden="false" customHeight="true" outlineLevel="0" collapsed="false">
      <c r="B19" s="7" t="s">
        <v>21</v>
      </c>
    </row>
    <row r="20" customFormat="false" ht="15" hidden="false" customHeight="true" outlineLevel="0" collapsed="false">
      <c r="B20" s="4" t="s">
        <v>22</v>
      </c>
    </row>
    <row r="21" customFormat="false" ht="15" hidden="false" customHeight="true" outlineLevel="0" collapsed="false">
      <c r="B21" s="8" t="s">
        <v>23</v>
      </c>
      <c r="C21" s="8" t="s">
        <v>24</v>
      </c>
    </row>
    <row r="22" customFormat="false" ht="18" hidden="false" customHeight="true" outlineLevel="0" collapsed="false">
      <c r="B22" s="5" t="s">
        <v>25</v>
      </c>
      <c r="C22" s="6" t="s">
        <v>26</v>
      </c>
    </row>
    <row r="23" customFormat="false" ht="30" hidden="false" customHeight="true" outlineLevel="0" collapsed="false">
      <c r="B23" s="5" t="s">
        <v>27</v>
      </c>
      <c r="C23" s="6" t="s">
        <v>28</v>
      </c>
    </row>
    <row r="24" customFormat="false" ht="18" hidden="false" customHeight="true" outlineLevel="0" collapsed="false">
      <c r="B24" s="5" t="s">
        <v>29</v>
      </c>
      <c r="C24" s="6" t="s">
        <v>30</v>
      </c>
    </row>
    <row r="25" customFormat="false" ht="30" hidden="false" customHeight="true" outlineLevel="0" collapsed="false">
      <c r="B25" s="5" t="s">
        <v>31</v>
      </c>
      <c r="C25" s="6" t="s">
        <v>32</v>
      </c>
    </row>
    <row r="26" customFormat="false" ht="30" hidden="false" customHeight="true" outlineLevel="0" collapsed="false">
      <c r="B26" s="5" t="s">
        <v>33</v>
      </c>
      <c r="C26" s="6" t="s">
        <v>34</v>
      </c>
    </row>
    <row r="27" customFormat="false" ht="18" hidden="false" customHeight="true" outlineLevel="0" collapsed="false">
      <c r="B27" s="5" t="s">
        <v>35</v>
      </c>
      <c r="C27" s="6" t="s">
        <v>36</v>
      </c>
    </row>
    <row r="29" customFormat="false" ht="43.5" hidden="false" customHeight="true" outlineLevel="0" collapsed="false">
      <c r="B29" s="9" t="s">
        <v>37</v>
      </c>
      <c r="C29" s="9"/>
    </row>
  </sheetData>
  <mergeCells count="1"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10"/>
  </cols>
  <sheetData>
    <row r="2" customFormat="false" ht="21.75" hidden="false" customHeight="true" outlineLevel="0" collapsed="false">
      <c r="B2" s="2" t="s">
        <v>38</v>
      </c>
    </row>
    <row r="3" customFormat="false" ht="15" hidden="false" customHeight="true" outlineLevel="0" collapsed="false">
      <c r="B3" s="3" t="s">
        <v>39</v>
      </c>
    </row>
    <row r="5" customFormat="false" ht="15" hidden="false" customHeight="true" outlineLevel="0" collapsed="false">
      <c r="B5" s="4" t="s">
        <v>40</v>
      </c>
    </row>
    <row r="6" customFormat="false" ht="30" hidden="false" customHeight="true" outlineLevel="0" collapsed="false">
      <c r="B6" s="5" t="s">
        <v>41</v>
      </c>
      <c r="C6" s="6" t="s">
        <v>42</v>
      </c>
    </row>
    <row r="7" customFormat="false" ht="30" hidden="false" customHeight="true" outlineLevel="0" collapsed="false">
      <c r="B7" s="5" t="s">
        <v>43</v>
      </c>
      <c r="C7" s="6" t="s">
        <v>44</v>
      </c>
    </row>
    <row r="8" customFormat="false" ht="18" hidden="false" customHeight="true" outlineLevel="0" collapsed="false">
      <c r="B8" s="5" t="s">
        <v>45</v>
      </c>
      <c r="C8" s="6" t="s">
        <v>46</v>
      </c>
    </row>
    <row r="9" customFormat="false" ht="30" hidden="false" customHeight="true" outlineLevel="0" collapsed="false">
      <c r="B9" s="5" t="s">
        <v>47</v>
      </c>
      <c r="C9" s="6" t="s">
        <v>48</v>
      </c>
    </row>
    <row r="10" customFormat="false" ht="30" hidden="false" customHeight="true" outlineLevel="0" collapsed="false">
      <c r="B10" s="5" t="s">
        <v>49</v>
      </c>
      <c r="C10" s="6" t="s">
        <v>50</v>
      </c>
    </row>
    <row r="11" customFormat="false" ht="30" hidden="false" customHeight="true" outlineLevel="0" collapsed="false">
      <c r="B11" s="5" t="s">
        <v>51</v>
      </c>
      <c r="C11" s="6" t="s">
        <v>52</v>
      </c>
    </row>
    <row r="13" customFormat="false" ht="15" hidden="false" customHeight="true" outlineLevel="0" collapsed="false">
      <c r="B13" s="4" t="s">
        <v>53</v>
      </c>
    </row>
    <row r="14" customFormat="false" ht="18" hidden="false" customHeight="true" outlineLevel="0" collapsed="false">
      <c r="B14" s="5" t="s">
        <v>54</v>
      </c>
      <c r="C14" s="6" t="s">
        <v>55</v>
      </c>
    </row>
    <row r="15" customFormat="false" ht="18" hidden="false" customHeight="true" outlineLevel="0" collapsed="false">
      <c r="B15" s="5" t="s">
        <v>56</v>
      </c>
      <c r="C15" s="6" t="s">
        <v>57</v>
      </c>
    </row>
    <row r="16" customFormat="false" ht="30" hidden="false" customHeight="true" outlineLevel="0" collapsed="false">
      <c r="B16" s="5" t="s">
        <v>58</v>
      </c>
      <c r="C16" s="6" t="s">
        <v>59</v>
      </c>
    </row>
    <row r="17" customFormat="false" ht="18" hidden="false" customHeight="true" outlineLevel="0" collapsed="false">
      <c r="B17" s="5" t="s">
        <v>60</v>
      </c>
      <c r="C17" s="6" t="s">
        <v>61</v>
      </c>
    </row>
    <row r="18" customFormat="false" ht="18" hidden="false" customHeight="true" outlineLevel="0" collapsed="false">
      <c r="B18" s="5" t="s">
        <v>62</v>
      </c>
      <c r="C18" s="6" t="s">
        <v>63</v>
      </c>
    </row>
    <row r="19" customFormat="false" ht="18" hidden="false" customHeight="true" outlineLevel="0" collapsed="false">
      <c r="B19" s="5" t="s">
        <v>64</v>
      </c>
      <c r="C19" s="6" t="s">
        <v>65</v>
      </c>
    </row>
    <row r="20" customFormat="false" ht="30" hidden="false" customHeight="true" outlineLevel="0" collapsed="false">
      <c r="B20" s="5" t="s">
        <v>66</v>
      </c>
      <c r="C20" s="6" t="s">
        <v>67</v>
      </c>
    </row>
    <row r="21" customFormat="false" ht="18" hidden="false" customHeight="true" outlineLevel="0" collapsed="false">
      <c r="B21" s="5" t="s">
        <v>68</v>
      </c>
      <c r="C21" s="6" t="s">
        <v>69</v>
      </c>
    </row>
    <row r="23" customFormat="false" ht="15" hidden="false" customHeight="true" outlineLevel="0" collapsed="false">
      <c r="B23" s="4" t="s">
        <v>70</v>
      </c>
    </row>
    <row r="24" customFormat="false" ht="15" hidden="false" customHeight="true" outlineLevel="0" collapsed="false">
      <c r="B24" s="10" t="s">
        <v>71</v>
      </c>
    </row>
    <row r="25" customFormat="false" ht="15" hidden="false" customHeight="true" outlineLevel="0" collapsed="false">
      <c r="B25" s="7" t="s">
        <v>72</v>
      </c>
    </row>
    <row r="26" customFormat="false" ht="15" hidden="false" customHeight="true" outlineLevel="0" collapsed="false">
      <c r="B26" s="10" t="s">
        <v>73</v>
      </c>
    </row>
    <row r="27" customFormat="false" ht="15" hidden="false" customHeight="true" outlineLevel="0" collapsed="false">
      <c r="B27" s="7" t="s">
        <v>74</v>
      </c>
    </row>
    <row r="28" customFormat="false" ht="15" hidden="false" customHeight="true" outlineLevel="0" collapsed="false">
      <c r="B28" s="7" t="s">
        <v>75</v>
      </c>
    </row>
    <row r="29" customFormat="false" ht="15" hidden="false" customHeight="true" outlineLevel="0" collapsed="false">
      <c r="B29" s="7" t="s">
        <v>76</v>
      </c>
    </row>
    <row r="31" customFormat="false" ht="43.5" hidden="false" customHeight="true" outlineLevel="0" collapsed="false">
      <c r="B31" s="9" t="s">
        <v>37</v>
      </c>
      <c r="C31" s="9"/>
    </row>
  </sheetData>
  <mergeCells count="1"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534A"/>
    <pageSetUpPr fitToPage="true"/>
  </sheetPr>
  <dimension ref="A1:Y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7" min="5" style="1" width="7"/>
    <col collapsed="false" customWidth="true" hidden="false" outlineLevel="0" max="11" min="8" style="1" width="8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4" min="14" style="1" width="13"/>
    <col collapsed="false" customWidth="true" hidden="false" outlineLevel="0" max="15" min="15" style="1" width="9"/>
    <col collapsed="false" customWidth="true" hidden="false" outlineLevel="0" max="16" min="16" style="1" width="13"/>
    <col collapsed="false" customWidth="true" hidden="false" outlineLevel="0" max="17" min="17" style="1" width="9"/>
    <col collapsed="false" customWidth="true" hidden="false" outlineLevel="0" max="19" min="18" style="1" width="10"/>
    <col collapsed="false" customWidth="true" hidden="false" outlineLevel="0" max="20" min="20" style="1" width="17"/>
    <col collapsed="false" customWidth="true" hidden="false" outlineLevel="0" max="21" min="21" style="1" width="10"/>
    <col collapsed="false" customWidth="true" hidden="false" outlineLevel="0" max="22" min="22" style="1" width="13"/>
    <col collapsed="false" customWidth="true" hidden="false" outlineLevel="0" max="23" min="23" style="1" width="11"/>
    <col collapsed="false" customWidth="true" hidden="false" outlineLevel="0" max="25" min="24" style="1" width="72"/>
  </cols>
  <sheetData>
    <row r="1" customFormat="false" ht="21.75" hidden="false" customHeight="true" outlineLevel="0" collapsed="false">
      <c r="A1" s="11" t="s">
        <v>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31.5" hidden="false" customHeight="true" outlineLevel="0" collapsed="false">
      <c r="A2" s="12" t="s">
        <v>78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4" customFormat="false" ht="43.5" hidden="false" customHeight="true" outlineLevel="0" collapsed="false">
      <c r="A4" s="13" t="s">
        <v>79</v>
      </c>
      <c r="B4" s="13" t="s">
        <v>80</v>
      </c>
      <c r="C4" s="13" t="s">
        <v>81</v>
      </c>
      <c r="D4" s="13" t="s">
        <v>82</v>
      </c>
      <c r="E4" s="13" t="s">
        <v>83</v>
      </c>
      <c r="F4" s="13" t="s">
        <v>84</v>
      </c>
      <c r="G4" s="13" t="s">
        <v>85</v>
      </c>
      <c r="H4" s="13" t="s">
        <v>86</v>
      </c>
      <c r="I4" s="13" t="s">
        <v>87</v>
      </c>
      <c r="J4" s="13" t="s">
        <v>88</v>
      </c>
      <c r="K4" s="13" t="s">
        <v>89</v>
      </c>
      <c r="L4" s="13" t="s">
        <v>90</v>
      </c>
      <c r="M4" s="13" t="s">
        <v>91</v>
      </c>
      <c r="N4" s="13" t="s">
        <v>92</v>
      </c>
      <c r="O4" s="13" t="s">
        <v>93</v>
      </c>
      <c r="P4" s="13" t="s">
        <v>94</v>
      </c>
      <c r="Q4" s="13" t="s">
        <v>60</v>
      </c>
      <c r="R4" s="13" t="s">
        <v>95</v>
      </c>
      <c r="S4" s="13" t="s">
        <v>96</v>
      </c>
      <c r="T4" s="13" t="s">
        <v>97</v>
      </c>
      <c r="U4" s="13" t="s">
        <v>98</v>
      </c>
      <c r="V4" s="13" t="s">
        <v>99</v>
      </c>
      <c r="W4" s="13" t="s">
        <v>100</v>
      </c>
      <c r="X4" s="13" t="s">
        <v>101</v>
      </c>
      <c r="Y4" s="13" t="s">
        <v>102</v>
      </c>
    </row>
    <row r="5" customFormat="false" ht="15" hidden="false" customHeight="true" outlineLevel="0" collapsed="false">
      <c r="A5" s="14" t="s">
        <v>103</v>
      </c>
      <c r="B5" s="15" t="s">
        <v>104</v>
      </c>
      <c r="C5" s="15" t="s">
        <v>105</v>
      </c>
      <c r="D5" s="16" t="n">
        <v>100000</v>
      </c>
      <c r="E5" s="17" t="n">
        <v>0.9</v>
      </c>
      <c r="F5" s="17" t="n">
        <v>0.7</v>
      </c>
      <c r="G5" s="17" t="n">
        <v>0.55</v>
      </c>
      <c r="H5" s="18" t="n">
        <v>0.1</v>
      </c>
      <c r="I5" s="18" t="n">
        <v>0.45</v>
      </c>
      <c r="J5" s="19" t="n">
        <v>5</v>
      </c>
      <c r="K5" s="20" t="n">
        <f aca="false">IF($J5="","",INDEX(Reference!$C$20:$C$24,$J5))</f>
        <v>1</v>
      </c>
      <c r="L5" s="21" t="n">
        <f aca="false">IF(OR($E5="",$F5="",$G5=""),"",ROUND($E5*$F5*$G5,12))</f>
        <v>0.3465</v>
      </c>
      <c r="M5" s="21" t="n">
        <f aca="false">IF(OR($L5="",$H5=""),"",ROUND($L5*(1-$H5),12))</f>
        <v>0.31185</v>
      </c>
      <c r="N5" s="22" t="str">
        <f aca="false">IF($M5="","",INDEX(Reference!$B$11:$B$15,MATCH($M5,Reference!$C$11:$C$15,1)))</f>
        <v>3 · High</v>
      </c>
      <c r="O5" s="21" t="n">
        <f aca="false">IF(OR($L5="",$I5=""),"",ROUND($L5*(1-$I5),12))</f>
        <v>0.190575</v>
      </c>
      <c r="P5" s="22" t="str">
        <f aca="false">IF($O5="","",INDEX(Reference!$B$11:$B$15,MATCH($O5,Reference!$C$11:$C$15,1)))</f>
        <v>3 · High</v>
      </c>
      <c r="Q5" s="23" t="n">
        <f aca="false">IF(OR($M5="",$O5=""),"",IF($M5=0,0,($M5-$O5)/$M5))</f>
        <v>0.388888888888889</v>
      </c>
      <c r="R5" s="21" t="n">
        <f aca="false">IF(OR($E5="",$K5="",$H5=""),"",ROUND($E5*$K5*(1-$H5),3))</f>
        <v>0.81</v>
      </c>
      <c r="S5" s="21" t="n">
        <f aca="false">IF(OR($E5="",$K5="",$I5=""),"",ROUND($E5*$K5*(1-$I5),3))</f>
        <v>0.495</v>
      </c>
      <c r="T5" s="24" t="n">
        <f aca="false">IF(OR($E5="",$K5="",$H5="",$D5=""),"",IF($D5&lt;=0,"",$E5*$K5*(1-$H5)/($D5/Reference!$C$7)))</f>
        <v>8.1</v>
      </c>
      <c r="U5" s="25" t="n">
        <f aca="false">IF($M5="","",COUNTIFS($N$5:$N$56,$N5,$R$5:$R$56,"&gt;"&amp;$R5)+COUNTIFS($N$4:$N4,$N5,$R$4:$R4,$R5)+1)</f>
        <v>1</v>
      </c>
      <c r="V5" s="21" t="n">
        <f aca="false">IF(OR($H5="",$I5=""),"",IF($I5&gt;=1,"",IF($H5&gt;=1,"",(1-(1-$I5)/(1-$H5))/(1-$I5))))</f>
        <v>0.707070707070707</v>
      </c>
      <c r="W5" s="21" t="n">
        <f aca="false">IF(OR($D5="",$D5&lt;=0),"",MAX(0,MIN(1,(LOG10(MAX(Reference!$C$5,MIN(Reference!$C$6,$D5)))-LOG10(Reference!$C$5))/(LOG10(Reference!$C$6)-LOG10(Reference!$C$5)))))</f>
        <v>0.638437784712761</v>
      </c>
      <c r="X5" s="26" t="str">
        <f aca="false">IF($M5="","",INDEX(Reference!$D$11:$D$15,MATCH($M5,Reference!$C$11:$C$15,1)))</f>
        <v>Prioritise for surveillance; fixed-interval adherence essential</v>
      </c>
      <c r="Y5" s="26" t="str">
        <f aca="false">IF($O5="","",INDEX(Reference!$D$11:$D$15,MATCH($O5,Reference!$C$11:$C$15,1)))</f>
        <v>Prioritise for surveillance; fixed-interval adherence essential</v>
      </c>
    </row>
    <row r="6" customFormat="false" ht="15" hidden="false" customHeight="true" outlineLevel="0" collapsed="false">
      <c r="A6" s="14" t="s">
        <v>106</v>
      </c>
      <c r="B6" s="15" t="s">
        <v>104</v>
      </c>
      <c r="C6" s="15" t="s">
        <v>107</v>
      </c>
      <c r="D6" s="16" t="n">
        <v>100000</v>
      </c>
      <c r="E6" s="17" t="n">
        <v>0.55</v>
      </c>
      <c r="F6" s="17" t="n">
        <v>0.7</v>
      </c>
      <c r="G6" s="17" t="n">
        <v>0.53</v>
      </c>
      <c r="H6" s="18" t="n">
        <v>0.5</v>
      </c>
      <c r="I6" s="18" t="n">
        <v>0.65</v>
      </c>
      <c r="J6" s="19" t="n">
        <v>5</v>
      </c>
      <c r="K6" s="20" t="n">
        <f aca="false">IF($J6="","",INDEX(Reference!$C$20:$C$24,$J6))</f>
        <v>1</v>
      </c>
      <c r="L6" s="21" t="n">
        <f aca="false">IF(OR($E6="",$F6="",$G6=""),"",ROUND($E6*$F6*$G6,12))</f>
        <v>0.20405</v>
      </c>
      <c r="M6" s="21" t="n">
        <f aca="false">IF(OR($L6="",$H6=""),"",ROUND($L6*(1-$H6),12))</f>
        <v>0.102025</v>
      </c>
      <c r="N6" s="22" t="str">
        <f aca="false">IF($M6="","",INDEX(Reference!$B$11:$B$15,MATCH($M6,Reference!$C$11:$C$15,1)))</f>
        <v>2 · Moderate</v>
      </c>
      <c r="O6" s="21" t="n">
        <f aca="false">IF(OR($L6="",$I6=""),"",ROUND($L6*(1-$I6),12))</f>
        <v>0.0714175</v>
      </c>
      <c r="P6" s="22" t="str">
        <f aca="false">IF($O6="","",INDEX(Reference!$B$11:$B$15,MATCH($O6,Reference!$C$11:$C$15,1)))</f>
        <v>2 · Moderate</v>
      </c>
      <c r="Q6" s="23" t="n">
        <f aca="false">IF(OR($M6="",$O6=""),"",IF($M6=0,0,($M6-$O6)/$M6))</f>
        <v>0.3</v>
      </c>
      <c r="R6" s="21" t="n">
        <f aca="false">IF(OR($E6="",$K6="",$H6=""),"",ROUND($E6*$K6*(1-$H6),3))</f>
        <v>0.275</v>
      </c>
      <c r="S6" s="21" t="n">
        <f aca="false">IF(OR($E6="",$K6="",$I6=""),"",ROUND($E6*$K6*(1-$I6),3))</f>
        <v>0.193</v>
      </c>
      <c r="T6" s="24" t="n">
        <f aca="false">IF(OR($E6="",$K6="",$H6="",$D6=""),"",IF($D6&lt;=0,"",$E6*$K6*(1-$H6)/($D6/Reference!$C$7)))</f>
        <v>2.75</v>
      </c>
      <c r="U6" s="25" t="n">
        <f aca="false">IF($M6="","",COUNTIFS($N$5:$N$56,$N6,$R$5:$R$56,"&gt;"&amp;$R6)+COUNTIFS($N$4:$N5,$N6,$R$4:$R5,$R6)+1)</f>
        <v>2</v>
      </c>
      <c r="V6" s="21" t="n">
        <f aca="false">IF(OR($H6="",$I6=""),"",IF($I6&gt;=1,"",IF($H6&gt;=1,"",(1-(1-$I6)/(1-$H6))/(1-$I6))))</f>
        <v>0.857142857142857</v>
      </c>
      <c r="W6" s="21" t="n">
        <f aca="false">IF(OR($D6="",$D6&lt;=0),"",MAX(0,MIN(1,(LOG10(MAX(Reference!$C$5,MIN(Reference!$C$6,$D6)))-LOG10(Reference!$C$5))/(LOG10(Reference!$C$6)-LOG10(Reference!$C$5)))))</f>
        <v>0.638437784712761</v>
      </c>
      <c r="X6" s="26" t="str">
        <f aca="false">IF($M6="","",INDEX(Reference!$D$11:$D$15,MATCH($M6,Reference!$C$11:$C$15,1)))</f>
        <v>Usual-care biannual surveillance appropriate; confirm adherence and recall</v>
      </c>
      <c r="Y6" s="26" t="str">
        <f aca="false">IF($O6="","",INDEX(Reference!$D$11:$D$15,MATCH($O6,Reference!$C$11:$C$15,1)))</f>
        <v>Usual-care biannual surveillance appropriate; confirm adherence and recall</v>
      </c>
    </row>
    <row r="7" customFormat="false" ht="15" hidden="false" customHeight="true" outlineLevel="0" collapsed="false">
      <c r="A7" s="14" t="s">
        <v>108</v>
      </c>
      <c r="B7" s="15" t="s">
        <v>104</v>
      </c>
      <c r="C7" s="15" t="s">
        <v>109</v>
      </c>
      <c r="D7" s="16" t="n">
        <v>100000</v>
      </c>
      <c r="E7" s="17" t="n">
        <v>0.3</v>
      </c>
      <c r="F7" s="17" t="n">
        <v>0.65</v>
      </c>
      <c r="G7" s="17" t="n">
        <v>0.6</v>
      </c>
      <c r="H7" s="18" t="n">
        <v>0.2</v>
      </c>
      <c r="I7" s="18" t="n">
        <v>0.5</v>
      </c>
      <c r="J7" s="19" t="n">
        <v>5</v>
      </c>
      <c r="K7" s="20" t="n">
        <f aca="false">IF($J7="","",INDEX(Reference!$C$20:$C$24,$J7))</f>
        <v>1</v>
      </c>
      <c r="L7" s="21" t="n">
        <f aca="false">IF(OR($E7="",$F7="",$G7=""),"",ROUND($E7*$F7*$G7,12))</f>
        <v>0.117</v>
      </c>
      <c r="M7" s="21" t="n">
        <f aca="false">IF(OR($L7="",$H7=""),"",ROUND($L7*(1-$H7),12))</f>
        <v>0.0936</v>
      </c>
      <c r="N7" s="22" t="str">
        <f aca="false">IF($M7="","",INDEX(Reference!$B$11:$B$15,MATCH($M7,Reference!$C$11:$C$15,1)))</f>
        <v>2 · Moderate</v>
      </c>
      <c r="O7" s="21" t="n">
        <f aca="false">IF(OR($L7="",$I7=""),"",ROUND($L7*(1-$I7),12))</f>
        <v>0.0585</v>
      </c>
      <c r="P7" s="22" t="str">
        <f aca="false">IF($O7="","",INDEX(Reference!$B$11:$B$15,MATCH($O7,Reference!$C$11:$C$15,1)))</f>
        <v>2 · Moderate</v>
      </c>
      <c r="Q7" s="23" t="n">
        <f aca="false">IF(OR($M7="",$O7=""),"",IF($M7=0,0,($M7-$O7)/$M7))</f>
        <v>0.375</v>
      </c>
      <c r="R7" s="21" t="n">
        <f aca="false">IF(OR($E7="",$K7="",$H7=""),"",ROUND($E7*$K7*(1-$H7),3))</f>
        <v>0.24</v>
      </c>
      <c r="S7" s="21" t="n">
        <f aca="false">IF(OR($E7="",$K7="",$I7=""),"",ROUND($E7*$K7*(1-$I7),3))</f>
        <v>0.15</v>
      </c>
      <c r="T7" s="24" t="n">
        <f aca="false">IF(OR($E7="",$K7="",$H7="",$D7=""),"",IF($D7&lt;=0,"",$E7*$K7*(1-$H7)/($D7/Reference!$C$7)))</f>
        <v>2.4</v>
      </c>
      <c r="U7" s="25" t="n">
        <f aca="false">IF($M7="","",COUNTIFS($N$5:$N$56,$N7,$R$5:$R$56,"&gt;"&amp;$R7)+COUNTIFS($N$4:$N6,$N7,$R$4:$R6,$R7)+1)</f>
        <v>3</v>
      </c>
      <c r="V7" s="21" t="n">
        <f aca="false">IF(OR($H7="",$I7=""),"",IF($I7&gt;=1,"",IF($H7&gt;=1,"",(1-(1-$I7)/(1-$H7))/(1-$I7))))</f>
        <v>0.75</v>
      </c>
      <c r="W7" s="21" t="n">
        <f aca="false">IF(OR($D7="",$D7&lt;=0),"",MAX(0,MIN(1,(LOG10(MAX(Reference!$C$5,MIN(Reference!$C$6,$D7)))-LOG10(Reference!$C$5))/(LOG10(Reference!$C$6)-LOG10(Reference!$C$5)))))</f>
        <v>0.638437784712761</v>
      </c>
      <c r="X7" s="26" t="str">
        <f aca="false">IF($M7="","",INDEX(Reference!$D$11:$D$15,MATCH($M7,Reference!$C$11:$C$15,1)))</f>
        <v>Usual-care biannual surveillance appropriate; confirm adherence and recall</v>
      </c>
      <c r="Y7" s="26" t="str">
        <f aca="false">IF($O7="","",INDEX(Reference!$D$11:$D$15,MATCH($O7,Reference!$C$11:$C$15,1)))</f>
        <v>Usual-care biannual surveillance appropriate; confirm adherence and recall</v>
      </c>
    </row>
    <row r="8" customFormat="false" ht="15" hidden="false" customHeight="true" outlineLevel="0" collapsed="false">
      <c r="A8" s="14" t="s">
        <v>110</v>
      </c>
      <c r="B8" s="15" t="s">
        <v>104</v>
      </c>
      <c r="C8" s="15" t="s">
        <v>111</v>
      </c>
      <c r="D8" s="16" t="n">
        <v>100000</v>
      </c>
      <c r="E8" s="17" t="n">
        <v>0.25</v>
      </c>
      <c r="F8" s="17" t="n">
        <v>0.6</v>
      </c>
      <c r="G8" s="17" t="n">
        <v>0.48</v>
      </c>
      <c r="H8" s="18" t="n">
        <v>0.2</v>
      </c>
      <c r="I8" s="18" t="n">
        <v>0.55</v>
      </c>
      <c r="J8" s="19" t="n">
        <v>5</v>
      </c>
      <c r="K8" s="20" t="n">
        <f aca="false">IF($J8="","",INDEX(Reference!$C$20:$C$24,$J8))</f>
        <v>1</v>
      </c>
      <c r="L8" s="21" t="n">
        <f aca="false">IF(OR($E8="",$F8="",$G8=""),"",ROUND($E8*$F8*$G8,12))</f>
        <v>0.072</v>
      </c>
      <c r="M8" s="21" t="n">
        <f aca="false">IF(OR($L8="",$H8=""),"",ROUND($L8*(1-$H8),12))</f>
        <v>0.0576</v>
      </c>
      <c r="N8" s="22" t="str">
        <f aca="false">IF($M8="","",INDEX(Reference!$B$11:$B$15,MATCH($M8,Reference!$C$11:$C$15,1)))</f>
        <v>2 · Moderate</v>
      </c>
      <c r="O8" s="21" t="n">
        <f aca="false">IF(OR($L8="",$I8=""),"",ROUND($L8*(1-$I8),12))</f>
        <v>0.0324</v>
      </c>
      <c r="P8" s="22" t="str">
        <f aca="false">IF($O8="","",INDEX(Reference!$B$11:$B$15,MATCH($O8,Reference!$C$11:$C$15,1)))</f>
        <v>1 · Low</v>
      </c>
      <c r="Q8" s="23" t="n">
        <f aca="false">IF(OR($M8="",$O8=""),"",IF($M8=0,0,($M8-$O8)/$M8))</f>
        <v>0.4375</v>
      </c>
      <c r="R8" s="21" t="n">
        <f aca="false">IF(OR($E8="",$K8="",$H8=""),"",ROUND($E8*$K8*(1-$H8),3))</f>
        <v>0.2</v>
      </c>
      <c r="S8" s="21" t="n">
        <f aca="false">IF(OR($E8="",$K8="",$I8=""),"",ROUND($E8*$K8*(1-$I8),3))</f>
        <v>0.113</v>
      </c>
      <c r="T8" s="24" t="n">
        <f aca="false">IF(OR($E8="",$K8="",$H8="",$D8=""),"",IF($D8&lt;=0,"",$E8*$K8*(1-$H8)/($D8/Reference!$C$7)))</f>
        <v>2</v>
      </c>
      <c r="U8" s="25" t="n">
        <f aca="false">IF($M8="","",COUNTIFS($N$5:$N$56,$N8,$R$5:$R$56,"&gt;"&amp;$R8)+COUNTIFS($N$4:$N7,$N8,$R$4:$R7,$R8)+1)</f>
        <v>5</v>
      </c>
      <c r="V8" s="21" t="n">
        <f aca="false">IF(OR($H8="",$I8=""),"",IF($I8&gt;=1,"",IF($H8&gt;=1,"",(1-(1-$I8)/(1-$H8))/(1-$I8))))</f>
        <v>0.972222222222223</v>
      </c>
      <c r="W8" s="21" t="n">
        <f aca="false">IF(OR($D8="",$D8&lt;=0),"",MAX(0,MIN(1,(LOG10(MAX(Reference!$C$5,MIN(Reference!$C$6,$D8)))-LOG10(Reference!$C$5))/(LOG10(Reference!$C$6)-LOG10(Reference!$C$5)))))</f>
        <v>0.638437784712761</v>
      </c>
      <c r="X8" s="26" t="str">
        <f aca="false">IF($M8="","",INDEX(Reference!$D$11:$D$15,MATCH($M8,Reference!$C$11:$C$15,1)))</f>
        <v>Usual-care biannual surveillance appropriate; confirm adherence and recall</v>
      </c>
      <c r="Y8" s="26" t="str">
        <f aca="false">IF($O8="","",INDEX(Reference!$D$11:$D$15,MATCH($O8,Reference!$C$11:$C$15,1)))</f>
        <v>Monitor; usual-care biannual surveillance appropriate</v>
      </c>
    </row>
    <row r="9" customFormat="false" ht="15" hidden="false" customHeight="true" outlineLevel="0" collapsed="false">
      <c r="A9" s="14" t="s">
        <v>112</v>
      </c>
      <c r="B9" s="15" t="s">
        <v>104</v>
      </c>
      <c r="C9" s="15" t="s">
        <v>113</v>
      </c>
      <c r="D9" s="16" t="n">
        <v>100000</v>
      </c>
      <c r="E9" s="17" t="n">
        <v>0.2</v>
      </c>
      <c r="F9" s="17" t="n">
        <v>0.55</v>
      </c>
      <c r="G9" s="17" t="n">
        <v>0.45</v>
      </c>
      <c r="H9" s="18" t="n">
        <v>0.2</v>
      </c>
      <c r="I9" s="18" t="n">
        <v>0.55</v>
      </c>
      <c r="J9" s="19" t="n">
        <v>5</v>
      </c>
      <c r="K9" s="20" t="n">
        <f aca="false">IF($J9="","",INDEX(Reference!$C$20:$C$24,$J9))</f>
        <v>1</v>
      </c>
      <c r="L9" s="21" t="n">
        <f aca="false">IF(OR($E9="",$F9="",$G9=""),"",ROUND($E9*$F9*$G9,12))</f>
        <v>0.0495</v>
      </c>
      <c r="M9" s="21" t="n">
        <f aca="false">IF(OR($L9="",$H9=""),"",ROUND($L9*(1-$H9),12))</f>
        <v>0.0396</v>
      </c>
      <c r="N9" s="22" t="str">
        <f aca="false">IF($M9="","",INDEX(Reference!$B$11:$B$15,MATCH($M9,Reference!$C$11:$C$15,1)))</f>
        <v>1 · Low</v>
      </c>
      <c r="O9" s="21" t="n">
        <f aca="false">IF(OR($L9="",$I9=""),"",ROUND($L9*(1-$I9),12))</f>
        <v>0.022275</v>
      </c>
      <c r="P9" s="22" t="str">
        <f aca="false">IF($O9="","",INDEX(Reference!$B$11:$B$15,MATCH($O9,Reference!$C$11:$C$15,1)))</f>
        <v>1 · Low</v>
      </c>
      <c r="Q9" s="23" t="n">
        <f aca="false">IF(OR($M9="",$O9=""),"",IF($M9=0,0,($M9-$O9)/$M9))</f>
        <v>0.4375</v>
      </c>
      <c r="R9" s="21" t="n">
        <f aca="false">IF(OR($E9="",$K9="",$H9=""),"",ROUND($E9*$K9*(1-$H9),3))</f>
        <v>0.16</v>
      </c>
      <c r="S9" s="21" t="n">
        <f aca="false">IF(OR($E9="",$K9="",$I9=""),"",ROUND($E9*$K9*(1-$I9),3))</f>
        <v>0.09</v>
      </c>
      <c r="T9" s="24" t="n">
        <f aca="false">IF(OR($E9="",$K9="",$H9="",$D9=""),"",IF($D9&lt;=0,"",$E9*$K9*(1-$H9)/($D9/Reference!$C$7)))</f>
        <v>1.6</v>
      </c>
      <c r="U9" s="25" t="n">
        <f aca="false">IF($M9="","",COUNTIFS($N$5:$N$56,$N9,$R$5:$R$56,"&gt;"&amp;$R9)+COUNTIFS($N$4:$N8,$N9,$R$4:$R8,$R9)+1)</f>
        <v>1</v>
      </c>
      <c r="V9" s="21" t="n">
        <f aca="false">IF(OR($H9="",$I9=""),"",IF($I9&gt;=1,"",IF($H9&gt;=1,"",(1-(1-$I9)/(1-$H9))/(1-$I9))))</f>
        <v>0.972222222222223</v>
      </c>
      <c r="W9" s="21" t="n">
        <f aca="false">IF(OR($D9="",$D9&lt;=0),"",MAX(0,MIN(1,(LOG10(MAX(Reference!$C$5,MIN(Reference!$C$6,$D9)))-LOG10(Reference!$C$5))/(LOG10(Reference!$C$6)-LOG10(Reference!$C$5)))))</f>
        <v>0.638437784712761</v>
      </c>
      <c r="X9" s="26" t="str">
        <f aca="false">IF($M9="","",INDEX(Reference!$D$11:$D$15,MATCH($M9,Reference!$C$11:$C$15,1)))</f>
        <v>Monitor; usual-care biannual surveillance appropriate</v>
      </c>
      <c r="Y9" s="26" t="str">
        <f aca="false">IF($O9="","",INDEX(Reference!$D$11:$D$15,MATCH($O9,Reference!$C$11:$C$15,1)))</f>
        <v>Monitor; usual-care biannual surveillance appropriate</v>
      </c>
    </row>
    <row r="10" customFormat="false" ht="15" hidden="false" customHeight="true" outlineLevel="0" collapsed="false">
      <c r="A10" s="14" t="s">
        <v>114</v>
      </c>
      <c r="B10" s="15" t="s">
        <v>104</v>
      </c>
      <c r="C10" s="15" t="s">
        <v>115</v>
      </c>
      <c r="D10" s="16" t="n">
        <v>100000</v>
      </c>
      <c r="E10" s="17" t="n">
        <v>0.15</v>
      </c>
      <c r="F10" s="17" t="n">
        <v>0.6</v>
      </c>
      <c r="G10" s="17" t="n">
        <v>0.53</v>
      </c>
      <c r="H10" s="18" t="n">
        <v>0.2</v>
      </c>
      <c r="I10" s="18" t="n">
        <v>0.5</v>
      </c>
      <c r="J10" s="19" t="n">
        <v>5</v>
      </c>
      <c r="K10" s="20" t="n">
        <f aca="false">IF($J10="","",INDEX(Reference!$C$20:$C$24,$J10))</f>
        <v>1</v>
      </c>
      <c r="L10" s="21" t="n">
        <f aca="false">IF(OR($E10="",$F10="",$G10=""),"",ROUND($E10*$F10*$G10,12))</f>
        <v>0.0477</v>
      </c>
      <c r="M10" s="21" t="n">
        <f aca="false">IF(OR($L10="",$H10=""),"",ROUND($L10*(1-$H10),12))</f>
        <v>0.03816</v>
      </c>
      <c r="N10" s="22" t="str">
        <f aca="false">IF($M10="","",INDEX(Reference!$B$11:$B$15,MATCH($M10,Reference!$C$11:$C$15,1)))</f>
        <v>1 · Low</v>
      </c>
      <c r="O10" s="21" t="n">
        <f aca="false">IF(OR($L10="",$I10=""),"",ROUND($L10*(1-$I10),12))</f>
        <v>0.02385</v>
      </c>
      <c r="P10" s="22" t="str">
        <f aca="false">IF($O10="","",INDEX(Reference!$B$11:$B$15,MATCH($O10,Reference!$C$11:$C$15,1)))</f>
        <v>1 · Low</v>
      </c>
      <c r="Q10" s="23" t="n">
        <f aca="false">IF(OR($M10="",$O10=""),"",IF($M10=0,0,($M10-$O10)/$M10))</f>
        <v>0.375</v>
      </c>
      <c r="R10" s="21" t="n">
        <f aca="false">IF(OR($E10="",$K10="",$H10=""),"",ROUND($E10*$K10*(1-$H10),3))</f>
        <v>0.12</v>
      </c>
      <c r="S10" s="21" t="n">
        <f aca="false">IF(OR($E10="",$K10="",$I10=""),"",ROUND($E10*$K10*(1-$I10),3))</f>
        <v>0.075</v>
      </c>
      <c r="T10" s="24" t="n">
        <f aca="false">IF(OR($E10="",$K10="",$H10="",$D10=""),"",IF($D10&lt;=0,"",$E10*$K10*(1-$H10)/($D10/Reference!$C$7)))</f>
        <v>1.2</v>
      </c>
      <c r="U10" s="25" t="n">
        <f aca="false">IF($M10="","",COUNTIFS($N$5:$N$56,$N10,$R$5:$R$56,"&gt;"&amp;$R10)+COUNTIFS($N$4:$N9,$N10,$R$4:$R9,$R10)+1)</f>
        <v>3</v>
      </c>
      <c r="V10" s="21" t="n">
        <f aca="false">IF(OR($H10="",$I10=""),"",IF($I10&gt;=1,"",IF($H10&gt;=1,"",(1-(1-$I10)/(1-$H10))/(1-$I10))))</f>
        <v>0.75</v>
      </c>
      <c r="W10" s="21" t="n">
        <f aca="false">IF(OR($D10="",$D10&lt;=0),"",MAX(0,MIN(1,(LOG10(MAX(Reference!$C$5,MIN(Reference!$C$6,$D10)))-LOG10(Reference!$C$5))/(LOG10(Reference!$C$6)-LOG10(Reference!$C$5)))))</f>
        <v>0.638437784712761</v>
      </c>
      <c r="X10" s="26" t="str">
        <f aca="false">IF($M10="","",INDEX(Reference!$D$11:$D$15,MATCH($M10,Reference!$C$11:$C$15,1)))</f>
        <v>Monitor; usual-care biannual surveillance appropriate</v>
      </c>
      <c r="Y10" s="26" t="str">
        <f aca="false">IF($O10="","",INDEX(Reference!$D$11:$D$15,MATCH($O10,Reference!$C$11:$C$15,1)))</f>
        <v>Monitor; usual-care biannual surveillance appropriate</v>
      </c>
    </row>
    <row r="11" customFormat="false" ht="15" hidden="false" customHeight="true" outlineLevel="0" collapsed="false">
      <c r="A11" s="14" t="s">
        <v>116</v>
      </c>
      <c r="B11" s="15" t="s">
        <v>117</v>
      </c>
      <c r="C11" s="15" t="s">
        <v>118</v>
      </c>
      <c r="D11" s="16" t="n">
        <v>100000</v>
      </c>
      <c r="E11" s="17" t="n">
        <v>0.15</v>
      </c>
      <c r="F11" s="17" t="n">
        <v>0.6</v>
      </c>
      <c r="G11" s="17" t="n">
        <v>0.5</v>
      </c>
      <c r="H11" s="18" t="n">
        <v>0.2</v>
      </c>
      <c r="I11" s="18" t="n">
        <v>0.65</v>
      </c>
      <c r="J11" s="19" t="n">
        <v>5</v>
      </c>
      <c r="K11" s="20" t="n">
        <f aca="false">IF($J11="","",INDEX(Reference!$C$20:$C$24,$J11))</f>
        <v>1</v>
      </c>
      <c r="L11" s="21" t="n">
        <f aca="false">IF(OR($E11="",$F11="",$G11=""),"",ROUND($E11*$F11*$G11,12))</f>
        <v>0.045</v>
      </c>
      <c r="M11" s="21" t="n">
        <f aca="false">IF(OR($L11="",$H11=""),"",ROUND($L11*(1-$H11),12))</f>
        <v>0.036</v>
      </c>
      <c r="N11" s="22" t="str">
        <f aca="false">IF($M11="","",INDEX(Reference!$B$11:$B$15,MATCH($M11,Reference!$C$11:$C$15,1)))</f>
        <v>1 · Low</v>
      </c>
      <c r="O11" s="21" t="n">
        <f aca="false">IF(OR($L11="",$I11=""),"",ROUND($L11*(1-$I11),12))</f>
        <v>0.01575</v>
      </c>
      <c r="P11" s="22" t="str">
        <f aca="false">IF($O11="","",INDEX(Reference!$B$11:$B$15,MATCH($O11,Reference!$C$11:$C$15,1)))</f>
        <v>1 · Low</v>
      </c>
      <c r="Q11" s="23" t="n">
        <f aca="false">IF(OR($M11="",$O11=""),"",IF($M11=0,0,($M11-$O11)/$M11))</f>
        <v>0.5625</v>
      </c>
      <c r="R11" s="21" t="n">
        <f aca="false">IF(OR($E11="",$K11="",$H11=""),"",ROUND($E11*$K11*(1-$H11),3))</f>
        <v>0.12</v>
      </c>
      <c r="S11" s="21" t="n">
        <f aca="false">IF(OR($E11="",$K11="",$I11=""),"",ROUND($E11*$K11*(1-$I11),3))</f>
        <v>0.053</v>
      </c>
      <c r="T11" s="24" t="n">
        <f aca="false">IF(OR($E11="",$K11="",$H11="",$D11=""),"",IF($D11&lt;=0,"",$E11*$K11*(1-$H11)/($D11/Reference!$C$7)))</f>
        <v>1.2</v>
      </c>
      <c r="U11" s="25" t="n">
        <f aca="false">IF($M11="","",COUNTIFS($N$5:$N$56,$N11,$R$5:$R$56,"&gt;"&amp;$R11)+COUNTIFS($N$4:$N10,$N11,$R$4:$R10,$R11)+1)</f>
        <v>4</v>
      </c>
      <c r="V11" s="21" t="n">
        <f aca="false">IF(OR($H11="",$I11=""),"",IF($I11&gt;=1,"",IF($H11&gt;=1,"",(1-(1-$I11)/(1-$H11))/(1-$I11))))</f>
        <v>1.60714285714286</v>
      </c>
      <c r="W11" s="21" t="n">
        <f aca="false">IF(OR($D11="",$D11&lt;=0),"",MAX(0,MIN(1,(LOG10(MAX(Reference!$C$5,MIN(Reference!$C$6,$D11)))-LOG10(Reference!$C$5))/(LOG10(Reference!$C$6)-LOG10(Reference!$C$5)))))</f>
        <v>0.638437784712761</v>
      </c>
      <c r="X11" s="26" t="str">
        <f aca="false">IF($M11="","",INDEX(Reference!$D$11:$D$15,MATCH($M11,Reference!$C$11:$C$15,1)))</f>
        <v>Monitor; usual-care biannual surveillance appropriate</v>
      </c>
      <c r="Y11" s="26" t="str">
        <f aca="false">IF($O11="","",INDEX(Reference!$D$11:$D$15,MATCH($O11,Reference!$C$11:$C$15,1)))</f>
        <v>Monitor; usual-care biannual surveillance appropriate</v>
      </c>
    </row>
    <row r="12" customFormat="false" ht="15" hidden="false" customHeight="true" outlineLevel="0" collapsed="false">
      <c r="A12" s="14" t="s">
        <v>119</v>
      </c>
      <c r="B12" s="15" t="s">
        <v>117</v>
      </c>
      <c r="C12" s="15" t="s">
        <v>113</v>
      </c>
      <c r="D12" s="16" t="n">
        <v>100000</v>
      </c>
      <c r="E12" s="17" t="n">
        <v>0.2</v>
      </c>
      <c r="F12" s="17" t="n">
        <v>0.6</v>
      </c>
      <c r="G12" s="17" t="n">
        <v>0.5</v>
      </c>
      <c r="H12" s="18" t="n">
        <v>0.2</v>
      </c>
      <c r="I12" s="18" t="n">
        <v>0.65</v>
      </c>
      <c r="J12" s="19" t="n">
        <v>5</v>
      </c>
      <c r="K12" s="20" t="n">
        <f aca="false">IF($J12="","",INDEX(Reference!$C$20:$C$24,$J12))</f>
        <v>1</v>
      </c>
      <c r="L12" s="21" t="n">
        <f aca="false">IF(OR($E12="",$F12="",$G12=""),"",ROUND($E12*$F12*$G12,12))</f>
        <v>0.06</v>
      </c>
      <c r="M12" s="21" t="n">
        <f aca="false">IF(OR($L12="",$H12=""),"",ROUND($L12*(1-$H12),12))</f>
        <v>0.048</v>
      </c>
      <c r="N12" s="22" t="str">
        <f aca="false">IF($M12="","",INDEX(Reference!$B$11:$B$15,MATCH($M12,Reference!$C$11:$C$15,1)))</f>
        <v>1 · Low</v>
      </c>
      <c r="O12" s="21" t="n">
        <f aca="false">IF(OR($L12="",$I12=""),"",ROUND($L12*(1-$I12),12))</f>
        <v>0.021</v>
      </c>
      <c r="P12" s="22" t="str">
        <f aca="false">IF($O12="","",INDEX(Reference!$B$11:$B$15,MATCH($O12,Reference!$C$11:$C$15,1)))</f>
        <v>1 · Low</v>
      </c>
      <c r="Q12" s="23" t="n">
        <f aca="false">IF(OR($M12="",$O12=""),"",IF($M12=0,0,($M12-$O12)/$M12))</f>
        <v>0.5625</v>
      </c>
      <c r="R12" s="21" t="n">
        <f aca="false">IF(OR($E12="",$K12="",$H12=""),"",ROUND($E12*$K12*(1-$H12),3))</f>
        <v>0.16</v>
      </c>
      <c r="S12" s="21" t="n">
        <f aca="false">IF(OR($E12="",$K12="",$I12=""),"",ROUND($E12*$K12*(1-$I12),3))</f>
        <v>0.07</v>
      </c>
      <c r="T12" s="24" t="n">
        <f aca="false">IF(OR($E12="",$K12="",$H12="",$D12=""),"",IF($D12&lt;=0,"",$E12*$K12*(1-$H12)/($D12/Reference!$C$7)))</f>
        <v>1.6</v>
      </c>
      <c r="U12" s="25" t="n">
        <f aca="false">IF($M12="","",COUNTIFS($N$5:$N$56,$N12,$R$5:$R$56,"&gt;"&amp;$R12)+COUNTIFS($N$4:$N11,$N12,$R$4:$R11,$R12)+1)</f>
        <v>2</v>
      </c>
      <c r="V12" s="21" t="n">
        <f aca="false">IF(OR($H12="",$I12=""),"",IF($I12&gt;=1,"",IF($H12&gt;=1,"",(1-(1-$I12)/(1-$H12))/(1-$I12))))</f>
        <v>1.60714285714286</v>
      </c>
      <c r="W12" s="21" t="n">
        <f aca="false">IF(OR($D12="",$D12&lt;=0),"",MAX(0,MIN(1,(LOG10(MAX(Reference!$C$5,MIN(Reference!$C$6,$D12)))-LOG10(Reference!$C$5))/(LOG10(Reference!$C$6)-LOG10(Reference!$C$5)))))</f>
        <v>0.638437784712761</v>
      </c>
      <c r="X12" s="26" t="str">
        <f aca="false">IF($M12="","",INDEX(Reference!$D$11:$D$15,MATCH($M12,Reference!$C$11:$C$15,1)))</f>
        <v>Monitor; usual-care biannual surveillance appropriate</v>
      </c>
      <c r="Y12" s="26" t="str">
        <f aca="false">IF($O12="","",INDEX(Reference!$D$11:$D$15,MATCH($O12,Reference!$C$11:$C$15,1)))</f>
        <v>Monitor; usual-care biannual surveillance appropriate</v>
      </c>
    </row>
    <row r="13" customFormat="false" ht="15" hidden="false" customHeight="true" outlineLevel="0" collapsed="false">
      <c r="A13" s="14" t="s">
        <v>120</v>
      </c>
      <c r="B13" s="15" t="s">
        <v>117</v>
      </c>
      <c r="C13" s="15" t="s">
        <v>111</v>
      </c>
      <c r="D13" s="16" t="n">
        <v>100000</v>
      </c>
      <c r="E13" s="17" t="n">
        <v>0.25</v>
      </c>
      <c r="F13" s="17" t="n">
        <v>0.6</v>
      </c>
      <c r="G13" s="17" t="n">
        <v>0.5</v>
      </c>
      <c r="H13" s="18" t="n">
        <v>0.2</v>
      </c>
      <c r="I13" s="18" t="n">
        <v>0.65</v>
      </c>
      <c r="J13" s="19" t="n">
        <v>5</v>
      </c>
      <c r="K13" s="20" t="n">
        <f aca="false">IF($J13="","",INDEX(Reference!$C$20:$C$24,$J13))</f>
        <v>1</v>
      </c>
      <c r="L13" s="21" t="n">
        <f aca="false">IF(OR($E13="",$F13="",$G13=""),"",ROUND($E13*$F13*$G13,12))</f>
        <v>0.075</v>
      </c>
      <c r="M13" s="21" t="n">
        <f aca="false">IF(OR($L13="",$H13=""),"",ROUND($L13*(1-$H13),12))</f>
        <v>0.06</v>
      </c>
      <c r="N13" s="22" t="str">
        <f aca="false">IF($M13="","",INDEX(Reference!$B$11:$B$15,MATCH($M13,Reference!$C$11:$C$15,1)))</f>
        <v>2 · Moderate</v>
      </c>
      <c r="O13" s="21" t="n">
        <f aca="false">IF(OR($L13="",$I13=""),"",ROUND($L13*(1-$I13),12))</f>
        <v>0.02625</v>
      </c>
      <c r="P13" s="22" t="str">
        <f aca="false">IF($O13="","",INDEX(Reference!$B$11:$B$15,MATCH($O13,Reference!$C$11:$C$15,1)))</f>
        <v>1 · Low</v>
      </c>
      <c r="Q13" s="23" t="n">
        <f aca="false">IF(OR($M13="",$O13=""),"",IF($M13=0,0,($M13-$O13)/$M13))</f>
        <v>0.5625</v>
      </c>
      <c r="R13" s="21" t="n">
        <f aca="false">IF(OR($E13="",$K13="",$H13=""),"",ROUND($E13*$K13*(1-$H13),3))</f>
        <v>0.2</v>
      </c>
      <c r="S13" s="21" t="n">
        <f aca="false">IF(OR($E13="",$K13="",$I13=""),"",ROUND($E13*$K13*(1-$I13),3))</f>
        <v>0.088</v>
      </c>
      <c r="T13" s="24" t="n">
        <f aca="false">IF(OR($E13="",$K13="",$H13="",$D13=""),"",IF($D13&lt;=0,"",$E13*$K13*(1-$H13)/($D13/Reference!$C$7)))</f>
        <v>2</v>
      </c>
      <c r="U13" s="25" t="n">
        <f aca="false">IF($M13="","",COUNTIFS($N$5:$N$56,$N13,$R$5:$R$56,"&gt;"&amp;$R13)+COUNTIFS($N$4:$N12,$N13,$R$4:$R12,$R13)+1)</f>
        <v>6</v>
      </c>
      <c r="V13" s="21" t="n">
        <f aca="false">IF(OR($H13="",$I13=""),"",IF($I13&gt;=1,"",IF($H13&gt;=1,"",(1-(1-$I13)/(1-$H13))/(1-$I13))))</f>
        <v>1.60714285714286</v>
      </c>
      <c r="W13" s="21" t="n">
        <f aca="false">IF(OR($D13="",$D13&lt;=0),"",MAX(0,MIN(1,(LOG10(MAX(Reference!$C$5,MIN(Reference!$C$6,$D13)))-LOG10(Reference!$C$5))/(LOG10(Reference!$C$6)-LOG10(Reference!$C$5)))))</f>
        <v>0.638437784712761</v>
      </c>
      <c r="X13" s="26" t="str">
        <f aca="false">IF($M13="","",INDEX(Reference!$D$11:$D$15,MATCH($M13,Reference!$C$11:$C$15,1)))</f>
        <v>Usual-care biannual surveillance appropriate; confirm adherence and recall</v>
      </c>
      <c r="Y13" s="26" t="str">
        <f aca="false">IF($O13="","",INDEX(Reference!$D$11:$D$15,MATCH($O13,Reference!$C$11:$C$15,1)))</f>
        <v>Monitor; usual-care biannual surveillance appropriate</v>
      </c>
    </row>
    <row r="14" customFormat="false" ht="15" hidden="false" customHeight="true" outlineLevel="0" collapsed="false">
      <c r="A14" s="14" t="s">
        <v>121</v>
      </c>
      <c r="B14" s="15" t="s">
        <v>117</v>
      </c>
      <c r="C14" s="15" t="s">
        <v>122</v>
      </c>
      <c r="D14" s="16" t="n">
        <v>100000</v>
      </c>
      <c r="E14" s="17" t="n">
        <v>0.3</v>
      </c>
      <c r="F14" s="17" t="n">
        <v>0.6</v>
      </c>
      <c r="G14" s="17" t="n">
        <v>0.5</v>
      </c>
      <c r="H14" s="18" t="n">
        <v>0.2</v>
      </c>
      <c r="I14" s="18" t="n">
        <v>0.65</v>
      </c>
      <c r="J14" s="19" t="n">
        <v>5</v>
      </c>
      <c r="K14" s="20" t="n">
        <f aca="false">IF($J14="","",INDEX(Reference!$C$20:$C$24,$J14))</f>
        <v>1</v>
      </c>
      <c r="L14" s="21" t="n">
        <f aca="false">IF(OR($E14="",$F14="",$G14=""),"",ROUND($E14*$F14*$G14,12))</f>
        <v>0.09</v>
      </c>
      <c r="M14" s="21" t="n">
        <f aca="false">IF(OR($L14="",$H14=""),"",ROUND($L14*(1-$H14),12))</f>
        <v>0.072</v>
      </c>
      <c r="N14" s="22" t="str">
        <f aca="false">IF($M14="","",INDEX(Reference!$B$11:$B$15,MATCH($M14,Reference!$C$11:$C$15,1)))</f>
        <v>2 · Moderate</v>
      </c>
      <c r="O14" s="21" t="n">
        <f aca="false">IF(OR($L14="",$I14=""),"",ROUND($L14*(1-$I14),12))</f>
        <v>0.0315</v>
      </c>
      <c r="P14" s="22" t="str">
        <f aca="false">IF($O14="","",INDEX(Reference!$B$11:$B$15,MATCH($O14,Reference!$C$11:$C$15,1)))</f>
        <v>1 · Low</v>
      </c>
      <c r="Q14" s="23" t="n">
        <f aca="false">IF(OR($M14="",$O14=""),"",IF($M14=0,0,($M14-$O14)/$M14))</f>
        <v>0.5625</v>
      </c>
      <c r="R14" s="21" t="n">
        <f aca="false">IF(OR($E14="",$K14="",$H14=""),"",ROUND($E14*$K14*(1-$H14),3))</f>
        <v>0.24</v>
      </c>
      <c r="S14" s="21" t="n">
        <f aca="false">IF(OR($E14="",$K14="",$I14=""),"",ROUND($E14*$K14*(1-$I14),3))</f>
        <v>0.105</v>
      </c>
      <c r="T14" s="24" t="n">
        <f aca="false">IF(OR($E14="",$K14="",$H14="",$D14=""),"",IF($D14&lt;=0,"",$E14*$K14*(1-$H14)/($D14/Reference!$C$7)))</f>
        <v>2.4</v>
      </c>
      <c r="U14" s="25" t="n">
        <f aca="false">IF($M14="","",COUNTIFS($N$5:$N$56,$N14,$R$5:$R$56,"&gt;"&amp;$R14)+COUNTIFS($N$4:$N13,$N14,$R$4:$R13,$R14)+1)</f>
        <v>4</v>
      </c>
      <c r="V14" s="21" t="n">
        <f aca="false">IF(OR($H14="",$I14=""),"",IF($I14&gt;=1,"",IF($H14&gt;=1,"",(1-(1-$I14)/(1-$H14))/(1-$I14))))</f>
        <v>1.60714285714286</v>
      </c>
      <c r="W14" s="21" t="n">
        <f aca="false">IF(OR($D14="",$D14&lt;=0),"",MAX(0,MIN(1,(LOG10(MAX(Reference!$C$5,MIN(Reference!$C$6,$D14)))-LOG10(Reference!$C$5))/(LOG10(Reference!$C$6)-LOG10(Reference!$C$5)))))</f>
        <v>0.638437784712761</v>
      </c>
      <c r="X14" s="26" t="str">
        <f aca="false">IF($M14="","",INDEX(Reference!$D$11:$D$15,MATCH($M14,Reference!$C$11:$C$15,1)))</f>
        <v>Usual-care biannual surveillance appropriate; confirm adherence and recall</v>
      </c>
      <c r="Y14" s="26" t="str">
        <f aca="false">IF($O14="","",INDEX(Reference!$D$11:$D$15,MATCH($O14,Reference!$C$11:$C$15,1)))</f>
        <v>Monitor; usual-care biannual surveillance appropriate</v>
      </c>
    </row>
    <row r="15" customFormat="false" ht="15" hidden="false" customHeight="true" outlineLevel="0" collapsed="false">
      <c r="A15" s="14" t="s">
        <v>123</v>
      </c>
      <c r="B15" s="15" t="s">
        <v>117</v>
      </c>
      <c r="C15" s="15" t="s">
        <v>107</v>
      </c>
      <c r="D15" s="16" t="n">
        <v>100000</v>
      </c>
      <c r="E15" s="17" t="n">
        <v>0.55</v>
      </c>
      <c r="F15" s="17" t="n">
        <v>0.6</v>
      </c>
      <c r="G15" s="17" t="n">
        <v>0.5</v>
      </c>
      <c r="H15" s="18" t="n">
        <v>0.2</v>
      </c>
      <c r="I15" s="18" t="n">
        <v>0.65</v>
      </c>
      <c r="J15" s="19" t="n">
        <v>5</v>
      </c>
      <c r="K15" s="20" t="n">
        <f aca="false">IF($J15="","",INDEX(Reference!$C$20:$C$24,$J15))</f>
        <v>1</v>
      </c>
      <c r="L15" s="21" t="n">
        <f aca="false">IF(OR($E15="",$F15="",$G15=""),"",ROUND($E15*$F15*$G15,12))</f>
        <v>0.165</v>
      </c>
      <c r="M15" s="21" t="n">
        <f aca="false">IF(OR($L15="",$H15=""),"",ROUND($L15*(1-$H15),12))</f>
        <v>0.132</v>
      </c>
      <c r="N15" s="22" t="str">
        <f aca="false">IF($M15="","",INDEX(Reference!$B$11:$B$15,MATCH($M15,Reference!$C$11:$C$15,1)))</f>
        <v>2 · Moderate</v>
      </c>
      <c r="O15" s="21" t="n">
        <f aca="false">IF(OR($L15="",$I15=""),"",ROUND($L15*(1-$I15),12))</f>
        <v>0.05775</v>
      </c>
      <c r="P15" s="22" t="str">
        <f aca="false">IF($O15="","",INDEX(Reference!$B$11:$B$15,MATCH($O15,Reference!$C$11:$C$15,1)))</f>
        <v>2 · Moderate</v>
      </c>
      <c r="Q15" s="23" t="n">
        <f aca="false">IF(OR($M15="",$O15=""),"",IF($M15=0,0,($M15-$O15)/$M15))</f>
        <v>0.5625</v>
      </c>
      <c r="R15" s="21" t="n">
        <f aca="false">IF(OR($E15="",$K15="",$H15=""),"",ROUND($E15*$K15*(1-$H15),3))</f>
        <v>0.44</v>
      </c>
      <c r="S15" s="21" t="n">
        <f aca="false">IF(OR($E15="",$K15="",$I15=""),"",ROUND($E15*$K15*(1-$I15),3))</f>
        <v>0.193</v>
      </c>
      <c r="T15" s="24" t="n">
        <f aca="false">IF(OR($E15="",$K15="",$H15="",$D15=""),"",IF($D15&lt;=0,"",$E15*$K15*(1-$H15)/($D15/Reference!$C$7)))</f>
        <v>4.4</v>
      </c>
      <c r="U15" s="25" t="n">
        <f aca="false">IF($M15="","",COUNTIFS($N$5:$N$56,$N15,$R$5:$R$56,"&gt;"&amp;$R15)+COUNTIFS($N$4:$N14,$N15,$R$4:$R14,$R15)+1)</f>
        <v>1</v>
      </c>
      <c r="V15" s="21" t="n">
        <f aca="false">IF(OR($H15="",$I15=""),"",IF($I15&gt;=1,"",IF($H15&gt;=1,"",(1-(1-$I15)/(1-$H15))/(1-$I15))))</f>
        <v>1.60714285714286</v>
      </c>
      <c r="W15" s="21" t="n">
        <f aca="false">IF(OR($D15="",$D15&lt;=0),"",MAX(0,MIN(1,(LOG10(MAX(Reference!$C$5,MIN(Reference!$C$6,$D15)))-LOG10(Reference!$C$5))/(LOG10(Reference!$C$6)-LOG10(Reference!$C$5)))))</f>
        <v>0.638437784712761</v>
      </c>
      <c r="X15" s="26" t="str">
        <f aca="false">IF($M15="","",INDEX(Reference!$D$11:$D$15,MATCH($M15,Reference!$C$11:$C$15,1)))</f>
        <v>Usual-care biannual surveillance appropriate; confirm adherence and recall</v>
      </c>
      <c r="Y15" s="26" t="str">
        <f aca="false">IF($O15="","",INDEX(Reference!$D$11:$D$15,MATCH($O15,Reference!$C$11:$C$15,1)))</f>
        <v>Usual-care biannual surveillance appropriate; confirm adherence and recall</v>
      </c>
    </row>
    <row r="16" customFormat="false" ht="15" hidden="false" customHeight="true" outlineLevel="0" collapsed="false">
      <c r="A16" s="14" t="s">
        <v>124</v>
      </c>
      <c r="B16" s="15" t="s">
        <v>117</v>
      </c>
      <c r="C16" s="15" t="s">
        <v>125</v>
      </c>
      <c r="D16" s="16" t="n">
        <v>100000</v>
      </c>
      <c r="E16" s="17" t="n">
        <v>0.65</v>
      </c>
      <c r="F16" s="17" t="n">
        <v>0.6</v>
      </c>
      <c r="G16" s="17" t="n">
        <v>0.5</v>
      </c>
      <c r="H16" s="18" t="n">
        <v>0.2</v>
      </c>
      <c r="I16" s="18" t="n">
        <v>0.65</v>
      </c>
      <c r="J16" s="19" t="n">
        <v>5</v>
      </c>
      <c r="K16" s="20" t="n">
        <f aca="false">IF($J16="","",INDEX(Reference!$C$20:$C$24,$J16))</f>
        <v>1</v>
      </c>
      <c r="L16" s="21" t="n">
        <f aca="false">IF(OR($E16="",$F16="",$G16=""),"",ROUND($E16*$F16*$G16,12))</f>
        <v>0.195</v>
      </c>
      <c r="M16" s="21" t="n">
        <f aca="false">IF(OR($L16="",$H16=""),"",ROUND($L16*(1-$H16),12))</f>
        <v>0.156</v>
      </c>
      <c r="N16" s="22" t="str">
        <f aca="false">IF($M16="","",INDEX(Reference!$B$11:$B$15,MATCH($M16,Reference!$C$11:$C$15,1)))</f>
        <v>3 · High</v>
      </c>
      <c r="O16" s="21" t="n">
        <f aca="false">IF(OR($L16="",$I16=""),"",ROUND($L16*(1-$I16),12))</f>
        <v>0.06825</v>
      </c>
      <c r="P16" s="22" t="str">
        <f aca="false">IF($O16="","",INDEX(Reference!$B$11:$B$15,MATCH($O16,Reference!$C$11:$C$15,1)))</f>
        <v>2 · Moderate</v>
      </c>
      <c r="Q16" s="23" t="n">
        <f aca="false">IF(OR($M16="",$O16=""),"",IF($M16=0,0,($M16-$O16)/$M16))</f>
        <v>0.5625</v>
      </c>
      <c r="R16" s="21" t="n">
        <f aca="false">IF(OR($E16="",$K16="",$H16=""),"",ROUND($E16*$K16*(1-$H16),3))</f>
        <v>0.52</v>
      </c>
      <c r="S16" s="21" t="n">
        <f aca="false">IF(OR($E16="",$K16="",$I16=""),"",ROUND($E16*$K16*(1-$I16),3))</f>
        <v>0.228</v>
      </c>
      <c r="T16" s="24" t="n">
        <f aca="false">IF(OR($E16="",$K16="",$H16="",$D16=""),"",IF($D16&lt;=0,"",$E16*$K16*(1-$H16)/($D16/Reference!$C$7)))</f>
        <v>5.2</v>
      </c>
      <c r="U16" s="25" t="n">
        <f aca="false">IF($M16="","",COUNTIFS($N$5:$N$56,$N16,$R$5:$R$56,"&gt;"&amp;$R16)+COUNTIFS($N$4:$N15,$N16,$R$4:$R15,$R16)+1)</f>
        <v>2</v>
      </c>
      <c r="V16" s="21" t="n">
        <f aca="false">IF(OR($H16="",$I16=""),"",IF($I16&gt;=1,"",IF($H16&gt;=1,"",(1-(1-$I16)/(1-$H16))/(1-$I16))))</f>
        <v>1.60714285714286</v>
      </c>
      <c r="W16" s="21" t="n">
        <f aca="false">IF(OR($D16="",$D16&lt;=0),"",MAX(0,MIN(1,(LOG10(MAX(Reference!$C$5,MIN(Reference!$C$6,$D16)))-LOG10(Reference!$C$5))/(LOG10(Reference!$C$6)-LOG10(Reference!$C$5)))))</f>
        <v>0.638437784712761</v>
      </c>
      <c r="X16" s="26" t="str">
        <f aca="false">IF($M16="","",INDEX(Reference!$D$11:$D$15,MATCH($M16,Reference!$C$11:$C$15,1)))</f>
        <v>Prioritise for surveillance; fixed-interval adherence essential</v>
      </c>
      <c r="Y16" s="26" t="str">
        <f aca="false">IF($O16="","",INDEX(Reference!$D$11:$D$15,MATCH($O16,Reference!$C$11:$C$15,1)))</f>
        <v>Usual-care biannual surveillance appropriate; confirm adherence and recall</v>
      </c>
    </row>
    <row r="17" customFormat="false" ht="15" hidden="false" customHeight="true" outlineLevel="0" collapsed="false">
      <c r="A17" s="14" t="s">
        <v>126</v>
      </c>
      <c r="B17" s="15" t="s">
        <v>127</v>
      </c>
      <c r="C17" s="15" t="s">
        <v>128</v>
      </c>
      <c r="D17" s="16" t="n">
        <v>100000</v>
      </c>
      <c r="E17" s="17" t="n">
        <v>0.3</v>
      </c>
      <c r="F17" s="17" t="n">
        <v>0.6</v>
      </c>
      <c r="G17" s="17" t="n">
        <v>0.5</v>
      </c>
      <c r="H17" s="18" t="n">
        <v>0.2</v>
      </c>
      <c r="I17" s="18" t="n">
        <v>0.2</v>
      </c>
      <c r="J17" s="19" t="n">
        <v>2</v>
      </c>
      <c r="K17" s="20" t="n">
        <f aca="false">IF($J17="","",INDEX(Reference!$C$20:$C$24,$J17))</f>
        <v>0.3</v>
      </c>
      <c r="L17" s="21" t="n">
        <f aca="false">IF(OR($E17="",$F17="",$G17=""),"",ROUND($E17*$F17*$G17,12))</f>
        <v>0.09</v>
      </c>
      <c r="M17" s="21" t="n">
        <f aca="false">IF(OR($L17="",$H17=""),"",ROUND($L17*(1-$H17),12))</f>
        <v>0.072</v>
      </c>
      <c r="N17" s="22" t="str">
        <f aca="false">IF($M17="","",INDEX(Reference!$B$11:$B$15,MATCH($M17,Reference!$C$11:$C$15,1)))</f>
        <v>2 · Moderate</v>
      </c>
      <c r="O17" s="21" t="n">
        <f aca="false">IF(OR($L17="",$I17=""),"",ROUND($L17*(1-$I17),12))</f>
        <v>0.072</v>
      </c>
      <c r="P17" s="22" t="str">
        <f aca="false">IF($O17="","",INDEX(Reference!$B$11:$B$15,MATCH($O17,Reference!$C$11:$C$15,1)))</f>
        <v>2 · Moderate</v>
      </c>
      <c r="Q17" s="23" t="n">
        <f aca="false">IF(OR($M17="",$O17=""),"",IF($M17=0,0,($M17-$O17)/$M17))</f>
        <v>0</v>
      </c>
      <c r="R17" s="21" t="n">
        <f aca="false">IF(OR($E17="",$K17="",$H17=""),"",ROUND($E17*$K17*(1-$H17),3))</f>
        <v>0.072</v>
      </c>
      <c r="S17" s="21" t="n">
        <f aca="false">IF(OR($E17="",$K17="",$I17=""),"",ROUND($E17*$K17*(1-$I17),3))</f>
        <v>0.072</v>
      </c>
      <c r="T17" s="24" t="n">
        <f aca="false">IF(OR($E17="",$K17="",$H17="",$D17=""),"",IF($D17&lt;=0,"",$E17*$K17*(1-$H17)/($D17/Reference!$C$7)))</f>
        <v>0.72</v>
      </c>
      <c r="U17" s="25" t="n">
        <f aca="false">IF($M17="","",COUNTIFS($N$5:$N$56,$N17,$R$5:$R$56,"&gt;"&amp;$R17)+COUNTIFS($N$4:$N16,$N17,$R$4:$R16,$R17)+1)</f>
        <v>8</v>
      </c>
      <c r="V17" s="21" t="n">
        <f aca="false">IF(OR($H17="",$I17=""),"",IF($I17&gt;=1,"",IF($H17&gt;=1,"",(1-(1-$I17)/(1-$H17))/(1-$I17))))</f>
        <v>0</v>
      </c>
      <c r="W17" s="21" t="n">
        <f aca="false">IF(OR($D17="",$D17&lt;=0),"",MAX(0,MIN(1,(LOG10(MAX(Reference!$C$5,MIN(Reference!$C$6,$D17)))-LOG10(Reference!$C$5))/(LOG10(Reference!$C$6)-LOG10(Reference!$C$5)))))</f>
        <v>0.638437784712761</v>
      </c>
      <c r="X17" s="26" t="str">
        <f aca="false">IF($M17="","",INDEX(Reference!$D$11:$D$15,MATCH($M17,Reference!$C$11:$C$15,1)))</f>
        <v>Usual-care biannual surveillance appropriate; confirm adherence and recall</v>
      </c>
      <c r="Y17" s="26" t="str">
        <f aca="false">IF($O17="","",INDEX(Reference!$D$11:$D$15,MATCH($O17,Reference!$C$11:$C$15,1)))</f>
        <v>Usual-care biannual surveillance appropriate; confirm adherence and recall</v>
      </c>
    </row>
    <row r="18" customFormat="false" ht="15" hidden="false" customHeight="true" outlineLevel="0" collapsed="false">
      <c r="A18" s="14" t="s">
        <v>129</v>
      </c>
      <c r="B18" s="15" t="s">
        <v>127</v>
      </c>
      <c r="C18" s="15" t="s">
        <v>130</v>
      </c>
      <c r="D18" s="16" t="n">
        <v>100000</v>
      </c>
      <c r="E18" s="17" t="n">
        <v>0.25</v>
      </c>
      <c r="F18" s="17" t="n">
        <v>0.6</v>
      </c>
      <c r="G18" s="17" t="n">
        <v>0.55</v>
      </c>
      <c r="H18" s="18" t="n">
        <v>0.2</v>
      </c>
      <c r="I18" s="18" t="n">
        <v>0.2</v>
      </c>
      <c r="J18" s="19" t="n">
        <v>5</v>
      </c>
      <c r="K18" s="20" t="n">
        <f aca="false">IF($J18="","",INDEX(Reference!$C$20:$C$24,$J18))</f>
        <v>1</v>
      </c>
      <c r="L18" s="21" t="n">
        <f aca="false">IF(OR($E18="",$F18="",$G18=""),"",ROUND($E18*$F18*$G18,12))</f>
        <v>0.0825</v>
      </c>
      <c r="M18" s="21" t="n">
        <f aca="false">IF(OR($L18="",$H18=""),"",ROUND($L18*(1-$H18),12))</f>
        <v>0.066</v>
      </c>
      <c r="N18" s="22" t="str">
        <f aca="false">IF($M18="","",INDEX(Reference!$B$11:$B$15,MATCH($M18,Reference!$C$11:$C$15,1)))</f>
        <v>2 · Moderate</v>
      </c>
      <c r="O18" s="21" t="n">
        <f aca="false">IF(OR($L18="",$I18=""),"",ROUND($L18*(1-$I18),12))</f>
        <v>0.066</v>
      </c>
      <c r="P18" s="22" t="str">
        <f aca="false">IF($O18="","",INDEX(Reference!$B$11:$B$15,MATCH($O18,Reference!$C$11:$C$15,1)))</f>
        <v>2 · Moderate</v>
      </c>
      <c r="Q18" s="23" t="n">
        <f aca="false">IF(OR($M18="",$O18=""),"",IF($M18=0,0,($M18-$O18)/$M18))</f>
        <v>0</v>
      </c>
      <c r="R18" s="21" t="n">
        <f aca="false">IF(OR($E18="",$K18="",$H18=""),"",ROUND($E18*$K18*(1-$H18),3))</f>
        <v>0.2</v>
      </c>
      <c r="S18" s="21" t="n">
        <f aca="false">IF(OR($E18="",$K18="",$I18=""),"",ROUND($E18*$K18*(1-$I18),3))</f>
        <v>0.2</v>
      </c>
      <c r="T18" s="24" t="n">
        <f aca="false">IF(OR($E18="",$K18="",$H18="",$D18=""),"",IF($D18&lt;=0,"",$E18*$K18*(1-$H18)/($D18/Reference!$C$7)))</f>
        <v>2</v>
      </c>
      <c r="U18" s="25" t="n">
        <f aca="false">IF($M18="","",COUNTIFS($N$5:$N$56,$N18,$R$5:$R$56,"&gt;"&amp;$R18)+COUNTIFS($N$4:$N17,$N18,$R$4:$R17,$R18)+1)</f>
        <v>7</v>
      </c>
      <c r="V18" s="21" t="n">
        <f aca="false">IF(OR($H18="",$I18=""),"",IF($I18&gt;=1,"",IF($H18&gt;=1,"",(1-(1-$I18)/(1-$H18))/(1-$I18))))</f>
        <v>0</v>
      </c>
      <c r="W18" s="21" t="n">
        <f aca="false">IF(OR($D18="",$D18&lt;=0),"",MAX(0,MIN(1,(LOG10(MAX(Reference!$C$5,MIN(Reference!$C$6,$D18)))-LOG10(Reference!$C$5))/(LOG10(Reference!$C$6)-LOG10(Reference!$C$5)))))</f>
        <v>0.638437784712761</v>
      </c>
      <c r="X18" s="26" t="str">
        <f aca="false">IF($M18="","",INDEX(Reference!$D$11:$D$15,MATCH($M18,Reference!$C$11:$C$15,1)))</f>
        <v>Usual-care biannual surveillance appropriate; confirm adherence and recall</v>
      </c>
      <c r="Y18" s="26" t="str">
        <f aca="false">IF($O18="","",INDEX(Reference!$D$11:$D$15,MATCH($O18,Reference!$C$11:$C$15,1)))</f>
        <v>Usual-care biannual surveillance appropriate; confirm adherence and recall</v>
      </c>
    </row>
    <row r="19" customFormat="false" ht="15" hidden="false" customHeight="true" outlineLevel="0" collapsed="false">
      <c r="A19" s="27"/>
      <c r="B19" s="15"/>
      <c r="C19" s="15"/>
      <c r="D19" s="16"/>
      <c r="E19" s="17"/>
      <c r="F19" s="17"/>
      <c r="G19" s="17"/>
      <c r="H19" s="18"/>
      <c r="I19" s="18"/>
      <c r="J19" s="19"/>
      <c r="K19" s="20" t="str">
        <f aca="false">IF($J19="","",INDEX(Reference!$C$20:$C$24,$J19))</f>
        <v/>
      </c>
      <c r="L19" s="21" t="str">
        <f aca="false">IF(OR($E19="",$F19="",$G19=""),"",ROUND($E19*$F19*$G19,12))</f>
        <v/>
      </c>
      <c r="M19" s="21" t="str">
        <f aca="false">IF(OR($L19="",$H19=""),"",ROUND($L19*(1-$H19),12))</f>
        <v/>
      </c>
      <c r="N19" s="22" t="str">
        <f aca="false">IF($M19="","",INDEX(Reference!$B$11:$B$15,MATCH($M19,Reference!$C$11:$C$15,1)))</f>
        <v/>
      </c>
      <c r="O19" s="21" t="str">
        <f aca="false">IF(OR($L19="",$I19=""),"",ROUND($L19*(1-$I19),12))</f>
        <v/>
      </c>
      <c r="P19" s="22" t="str">
        <f aca="false">IF($O19="","",INDEX(Reference!$B$11:$B$15,MATCH($O19,Reference!$C$11:$C$15,1)))</f>
        <v/>
      </c>
      <c r="Q19" s="23" t="str">
        <f aca="false">IF(OR($M19="",$O19=""),"",IF($M19=0,0,($M19-$O19)/$M19))</f>
        <v/>
      </c>
      <c r="R19" s="21" t="str">
        <f aca="false">IF(OR($E19="",$K19="",$H19=""),"",ROUND($E19*$K19*(1-$H19),3))</f>
        <v/>
      </c>
      <c r="S19" s="21" t="str">
        <f aca="false">IF(OR($E19="",$K19="",$I19=""),"",ROUND($E19*$K19*(1-$I19),3))</f>
        <v/>
      </c>
      <c r="T19" s="24" t="str">
        <f aca="false">IF(OR($E19="",$K19="",$H19="",$D19=""),"",IF($D19&lt;=0,"",$E19*$K19*(1-$H19)/($D19/Reference!$C$7)))</f>
        <v/>
      </c>
      <c r="U19" s="25" t="str">
        <f aca="false">IF($M19="","",COUNTIFS($N$5:$N$56,$N19,$R$5:$R$56,"&gt;"&amp;$R19)+COUNTIFS($N$4:$N18,$N19,$R$4:$R18,$R19)+1)</f>
        <v/>
      </c>
      <c r="V19" s="21" t="str">
        <f aca="false">IF(OR($H19="",$I19=""),"",IF($I19&gt;=1,"",IF($H19&gt;=1,"",(1-(1-$I19)/(1-$H19))/(1-$I19))))</f>
        <v/>
      </c>
      <c r="W19" s="21" t="str">
        <f aca="false">IF(OR($D19="",$D19&lt;=0),"",MAX(0,MIN(1,(LOG10(MAX(Reference!$C$5,MIN(Reference!$C$6,$D19)))-LOG10(Reference!$C$5))/(LOG10(Reference!$C$6)-LOG10(Reference!$C$5)))))</f>
        <v/>
      </c>
      <c r="X19" s="26" t="str">
        <f aca="false">IF($M19="","",INDEX(Reference!$D$11:$D$15,MATCH($M19,Reference!$C$11:$C$15,1)))</f>
        <v/>
      </c>
      <c r="Y19" s="26" t="str">
        <f aca="false">IF($O19="","",INDEX(Reference!$D$11:$D$15,MATCH($O19,Reference!$C$11:$C$15,1)))</f>
        <v/>
      </c>
    </row>
    <row r="20" customFormat="false" ht="15" hidden="false" customHeight="true" outlineLevel="0" collapsed="false">
      <c r="A20" s="27"/>
      <c r="B20" s="15"/>
      <c r="C20" s="15"/>
      <c r="D20" s="16"/>
      <c r="E20" s="17"/>
      <c r="F20" s="17"/>
      <c r="G20" s="17"/>
      <c r="H20" s="18"/>
      <c r="I20" s="18"/>
      <c r="J20" s="19"/>
      <c r="K20" s="20" t="str">
        <f aca="false">IF($J20="","",INDEX(Reference!$C$20:$C$24,$J20))</f>
        <v/>
      </c>
      <c r="L20" s="21" t="str">
        <f aca="false">IF(OR($E20="",$F20="",$G20=""),"",ROUND($E20*$F20*$G20,12))</f>
        <v/>
      </c>
      <c r="M20" s="21" t="str">
        <f aca="false">IF(OR($L20="",$H20=""),"",ROUND($L20*(1-$H20),12))</f>
        <v/>
      </c>
      <c r="N20" s="22" t="str">
        <f aca="false">IF($M20="","",INDEX(Reference!$B$11:$B$15,MATCH($M20,Reference!$C$11:$C$15,1)))</f>
        <v/>
      </c>
      <c r="O20" s="21" t="str">
        <f aca="false">IF(OR($L20="",$I20=""),"",ROUND($L20*(1-$I20),12))</f>
        <v/>
      </c>
      <c r="P20" s="22" t="str">
        <f aca="false">IF($O20="","",INDEX(Reference!$B$11:$B$15,MATCH($O20,Reference!$C$11:$C$15,1)))</f>
        <v/>
      </c>
      <c r="Q20" s="23" t="str">
        <f aca="false">IF(OR($M20="",$O20=""),"",IF($M20=0,0,($M20-$O20)/$M20))</f>
        <v/>
      </c>
      <c r="R20" s="21" t="str">
        <f aca="false">IF(OR($E20="",$K20="",$H20=""),"",ROUND($E20*$K20*(1-$H20),3))</f>
        <v/>
      </c>
      <c r="S20" s="21" t="str">
        <f aca="false">IF(OR($E20="",$K20="",$I20=""),"",ROUND($E20*$K20*(1-$I20),3))</f>
        <v/>
      </c>
      <c r="T20" s="24" t="str">
        <f aca="false">IF(OR($E20="",$K20="",$H20="",$D20=""),"",IF($D20&lt;=0,"",$E20*$K20*(1-$H20)/($D20/Reference!$C$7)))</f>
        <v/>
      </c>
      <c r="U20" s="25" t="str">
        <f aca="false">IF($M20="","",COUNTIFS($N$5:$N$56,$N20,$R$5:$R$56,"&gt;"&amp;$R20)+COUNTIFS($N$4:$N19,$N20,$R$4:$R19,$R20)+1)</f>
        <v/>
      </c>
      <c r="V20" s="21" t="str">
        <f aca="false">IF(OR($H20="",$I20=""),"",IF($I20&gt;=1,"",IF($H20&gt;=1,"",(1-(1-$I20)/(1-$H20))/(1-$I20))))</f>
        <v/>
      </c>
      <c r="W20" s="21" t="str">
        <f aca="false">IF(OR($D20="",$D20&lt;=0),"",MAX(0,MIN(1,(LOG10(MAX(Reference!$C$5,MIN(Reference!$C$6,$D20)))-LOG10(Reference!$C$5))/(LOG10(Reference!$C$6)-LOG10(Reference!$C$5)))))</f>
        <v/>
      </c>
      <c r="X20" s="26" t="str">
        <f aca="false">IF($M20="","",INDEX(Reference!$D$11:$D$15,MATCH($M20,Reference!$C$11:$C$15,1)))</f>
        <v/>
      </c>
      <c r="Y20" s="26" t="str">
        <f aca="false">IF($O20="","",INDEX(Reference!$D$11:$D$15,MATCH($O20,Reference!$C$11:$C$15,1)))</f>
        <v/>
      </c>
    </row>
    <row r="21" customFormat="false" ht="15" hidden="false" customHeight="true" outlineLevel="0" collapsed="false">
      <c r="A21" s="27"/>
      <c r="B21" s="15"/>
      <c r="C21" s="15"/>
      <c r="D21" s="16"/>
      <c r="E21" s="17"/>
      <c r="F21" s="17"/>
      <c r="G21" s="17"/>
      <c r="H21" s="18"/>
      <c r="I21" s="18"/>
      <c r="J21" s="19"/>
      <c r="K21" s="20" t="str">
        <f aca="false">IF($J21="","",INDEX(Reference!$C$20:$C$24,$J21))</f>
        <v/>
      </c>
      <c r="L21" s="21" t="str">
        <f aca="false">IF(OR($E21="",$F21="",$G21=""),"",ROUND($E21*$F21*$G21,12))</f>
        <v/>
      </c>
      <c r="M21" s="21" t="str">
        <f aca="false">IF(OR($L21="",$H21=""),"",ROUND($L21*(1-$H21),12))</f>
        <v/>
      </c>
      <c r="N21" s="22" t="str">
        <f aca="false">IF($M21="","",INDEX(Reference!$B$11:$B$15,MATCH($M21,Reference!$C$11:$C$15,1)))</f>
        <v/>
      </c>
      <c r="O21" s="21" t="str">
        <f aca="false">IF(OR($L21="",$I21=""),"",ROUND($L21*(1-$I21),12))</f>
        <v/>
      </c>
      <c r="P21" s="22" t="str">
        <f aca="false">IF($O21="","",INDEX(Reference!$B$11:$B$15,MATCH($O21,Reference!$C$11:$C$15,1)))</f>
        <v/>
      </c>
      <c r="Q21" s="23" t="str">
        <f aca="false">IF(OR($M21="",$O21=""),"",IF($M21=0,0,($M21-$O21)/$M21))</f>
        <v/>
      </c>
      <c r="R21" s="21" t="str">
        <f aca="false">IF(OR($E21="",$K21="",$H21=""),"",ROUND($E21*$K21*(1-$H21),3))</f>
        <v/>
      </c>
      <c r="S21" s="21" t="str">
        <f aca="false">IF(OR($E21="",$K21="",$I21=""),"",ROUND($E21*$K21*(1-$I21),3))</f>
        <v/>
      </c>
      <c r="T21" s="24" t="str">
        <f aca="false">IF(OR($E21="",$K21="",$H21="",$D21=""),"",IF($D21&lt;=0,"",$E21*$K21*(1-$H21)/($D21/Reference!$C$7)))</f>
        <v/>
      </c>
      <c r="U21" s="25" t="str">
        <f aca="false">IF($M21="","",COUNTIFS($N$5:$N$56,$N21,$R$5:$R$56,"&gt;"&amp;$R21)+COUNTIFS($N$4:$N20,$N21,$R$4:$R20,$R21)+1)</f>
        <v/>
      </c>
      <c r="V21" s="21" t="str">
        <f aca="false">IF(OR($H21="",$I21=""),"",IF($I21&gt;=1,"",IF($H21&gt;=1,"",(1-(1-$I21)/(1-$H21))/(1-$I21))))</f>
        <v/>
      </c>
      <c r="W21" s="21" t="str">
        <f aca="false">IF(OR($D21="",$D21&lt;=0),"",MAX(0,MIN(1,(LOG10(MAX(Reference!$C$5,MIN(Reference!$C$6,$D21)))-LOG10(Reference!$C$5))/(LOG10(Reference!$C$6)-LOG10(Reference!$C$5)))))</f>
        <v/>
      </c>
      <c r="X21" s="26" t="str">
        <f aca="false">IF($M21="","",INDEX(Reference!$D$11:$D$15,MATCH($M21,Reference!$C$11:$C$15,1)))</f>
        <v/>
      </c>
      <c r="Y21" s="26" t="str">
        <f aca="false">IF($O21="","",INDEX(Reference!$D$11:$D$15,MATCH($O21,Reference!$C$11:$C$15,1)))</f>
        <v/>
      </c>
    </row>
    <row r="22" customFormat="false" ht="15" hidden="false" customHeight="true" outlineLevel="0" collapsed="false">
      <c r="A22" s="27"/>
      <c r="B22" s="15"/>
      <c r="C22" s="15"/>
      <c r="D22" s="16"/>
      <c r="E22" s="17"/>
      <c r="F22" s="17"/>
      <c r="G22" s="17"/>
      <c r="H22" s="18"/>
      <c r="I22" s="18"/>
      <c r="J22" s="19"/>
      <c r="K22" s="20" t="str">
        <f aca="false">IF($J22="","",INDEX(Reference!$C$20:$C$24,$J22))</f>
        <v/>
      </c>
      <c r="L22" s="21" t="str">
        <f aca="false">IF(OR($E22="",$F22="",$G22=""),"",ROUND($E22*$F22*$G22,12))</f>
        <v/>
      </c>
      <c r="M22" s="21" t="str">
        <f aca="false">IF(OR($L22="",$H22=""),"",ROUND($L22*(1-$H22),12))</f>
        <v/>
      </c>
      <c r="N22" s="22" t="str">
        <f aca="false">IF($M22="","",INDEX(Reference!$B$11:$B$15,MATCH($M22,Reference!$C$11:$C$15,1)))</f>
        <v/>
      </c>
      <c r="O22" s="21" t="str">
        <f aca="false">IF(OR($L22="",$I22=""),"",ROUND($L22*(1-$I22),12))</f>
        <v/>
      </c>
      <c r="P22" s="22" t="str">
        <f aca="false">IF($O22="","",INDEX(Reference!$B$11:$B$15,MATCH($O22,Reference!$C$11:$C$15,1)))</f>
        <v/>
      </c>
      <c r="Q22" s="23" t="str">
        <f aca="false">IF(OR($M22="",$O22=""),"",IF($M22=0,0,($M22-$O22)/$M22))</f>
        <v/>
      </c>
      <c r="R22" s="21" t="str">
        <f aca="false">IF(OR($E22="",$K22="",$H22=""),"",ROUND($E22*$K22*(1-$H22),3))</f>
        <v/>
      </c>
      <c r="S22" s="21" t="str">
        <f aca="false">IF(OR($E22="",$K22="",$I22=""),"",ROUND($E22*$K22*(1-$I22),3))</f>
        <v/>
      </c>
      <c r="T22" s="24" t="str">
        <f aca="false">IF(OR($E22="",$K22="",$H22="",$D22=""),"",IF($D22&lt;=0,"",$E22*$K22*(1-$H22)/($D22/Reference!$C$7)))</f>
        <v/>
      </c>
      <c r="U22" s="25" t="str">
        <f aca="false">IF($M22="","",COUNTIFS($N$5:$N$56,$N22,$R$5:$R$56,"&gt;"&amp;$R22)+COUNTIFS($N$4:$N21,$N22,$R$4:$R21,$R22)+1)</f>
        <v/>
      </c>
      <c r="V22" s="21" t="str">
        <f aca="false">IF(OR($H22="",$I22=""),"",IF($I22&gt;=1,"",IF($H22&gt;=1,"",(1-(1-$I22)/(1-$H22))/(1-$I22))))</f>
        <v/>
      </c>
      <c r="W22" s="21" t="str">
        <f aca="false">IF(OR($D22="",$D22&lt;=0),"",MAX(0,MIN(1,(LOG10(MAX(Reference!$C$5,MIN(Reference!$C$6,$D22)))-LOG10(Reference!$C$5))/(LOG10(Reference!$C$6)-LOG10(Reference!$C$5)))))</f>
        <v/>
      </c>
      <c r="X22" s="26" t="str">
        <f aca="false">IF($M22="","",INDEX(Reference!$D$11:$D$15,MATCH($M22,Reference!$C$11:$C$15,1)))</f>
        <v/>
      </c>
      <c r="Y22" s="26" t="str">
        <f aca="false">IF($O22="","",INDEX(Reference!$D$11:$D$15,MATCH($O22,Reference!$C$11:$C$15,1)))</f>
        <v/>
      </c>
    </row>
    <row r="23" customFormat="false" ht="15" hidden="false" customHeight="true" outlineLevel="0" collapsed="false">
      <c r="A23" s="27"/>
      <c r="B23" s="15"/>
      <c r="C23" s="15"/>
      <c r="D23" s="16"/>
      <c r="E23" s="17"/>
      <c r="F23" s="17"/>
      <c r="G23" s="17"/>
      <c r="H23" s="18"/>
      <c r="I23" s="18"/>
      <c r="J23" s="19"/>
      <c r="K23" s="20" t="str">
        <f aca="false">IF($J23="","",INDEX(Reference!$C$20:$C$24,$J23))</f>
        <v/>
      </c>
      <c r="L23" s="21" t="str">
        <f aca="false">IF(OR($E23="",$F23="",$G23=""),"",ROUND($E23*$F23*$G23,12))</f>
        <v/>
      </c>
      <c r="M23" s="21" t="str">
        <f aca="false">IF(OR($L23="",$H23=""),"",ROUND($L23*(1-$H23),12))</f>
        <v/>
      </c>
      <c r="N23" s="22" t="str">
        <f aca="false">IF($M23="","",INDEX(Reference!$B$11:$B$15,MATCH($M23,Reference!$C$11:$C$15,1)))</f>
        <v/>
      </c>
      <c r="O23" s="21" t="str">
        <f aca="false">IF(OR($L23="",$I23=""),"",ROUND($L23*(1-$I23),12))</f>
        <v/>
      </c>
      <c r="P23" s="22" t="str">
        <f aca="false">IF($O23="","",INDEX(Reference!$B$11:$B$15,MATCH($O23,Reference!$C$11:$C$15,1)))</f>
        <v/>
      </c>
      <c r="Q23" s="23" t="str">
        <f aca="false">IF(OR($M23="",$O23=""),"",IF($M23=0,0,($M23-$O23)/$M23))</f>
        <v/>
      </c>
      <c r="R23" s="21" t="str">
        <f aca="false">IF(OR($E23="",$K23="",$H23=""),"",ROUND($E23*$K23*(1-$H23),3))</f>
        <v/>
      </c>
      <c r="S23" s="21" t="str">
        <f aca="false">IF(OR($E23="",$K23="",$I23=""),"",ROUND($E23*$K23*(1-$I23),3))</f>
        <v/>
      </c>
      <c r="T23" s="24" t="str">
        <f aca="false">IF(OR($E23="",$K23="",$H23="",$D23=""),"",IF($D23&lt;=0,"",$E23*$K23*(1-$H23)/($D23/Reference!$C$7)))</f>
        <v/>
      </c>
      <c r="U23" s="25" t="str">
        <f aca="false">IF($M23="","",COUNTIFS($N$5:$N$56,$N23,$R$5:$R$56,"&gt;"&amp;$R23)+COUNTIFS($N$4:$N22,$N23,$R$4:$R22,$R23)+1)</f>
        <v/>
      </c>
      <c r="V23" s="21" t="str">
        <f aca="false">IF(OR($H23="",$I23=""),"",IF($I23&gt;=1,"",IF($H23&gt;=1,"",(1-(1-$I23)/(1-$H23))/(1-$I23))))</f>
        <v/>
      </c>
      <c r="W23" s="21" t="str">
        <f aca="false">IF(OR($D23="",$D23&lt;=0),"",MAX(0,MIN(1,(LOG10(MAX(Reference!$C$5,MIN(Reference!$C$6,$D23)))-LOG10(Reference!$C$5))/(LOG10(Reference!$C$6)-LOG10(Reference!$C$5)))))</f>
        <v/>
      </c>
      <c r="X23" s="26" t="str">
        <f aca="false">IF($M23="","",INDEX(Reference!$D$11:$D$15,MATCH($M23,Reference!$C$11:$C$15,1)))</f>
        <v/>
      </c>
      <c r="Y23" s="26" t="str">
        <f aca="false">IF($O23="","",INDEX(Reference!$D$11:$D$15,MATCH($O23,Reference!$C$11:$C$15,1)))</f>
        <v/>
      </c>
    </row>
    <row r="24" customFormat="false" ht="15" hidden="false" customHeight="true" outlineLevel="0" collapsed="false">
      <c r="A24" s="27"/>
      <c r="B24" s="15"/>
      <c r="C24" s="15"/>
      <c r="D24" s="16"/>
      <c r="E24" s="17"/>
      <c r="F24" s="17"/>
      <c r="G24" s="17"/>
      <c r="H24" s="18"/>
      <c r="I24" s="18"/>
      <c r="J24" s="19"/>
      <c r="K24" s="20" t="str">
        <f aca="false">IF($J24="","",INDEX(Reference!$C$20:$C$24,$J24))</f>
        <v/>
      </c>
      <c r="L24" s="21" t="str">
        <f aca="false">IF(OR($E24="",$F24="",$G24=""),"",ROUND($E24*$F24*$G24,12))</f>
        <v/>
      </c>
      <c r="M24" s="21" t="str">
        <f aca="false">IF(OR($L24="",$H24=""),"",ROUND($L24*(1-$H24),12))</f>
        <v/>
      </c>
      <c r="N24" s="22" t="str">
        <f aca="false">IF($M24="","",INDEX(Reference!$B$11:$B$15,MATCH($M24,Reference!$C$11:$C$15,1)))</f>
        <v/>
      </c>
      <c r="O24" s="21" t="str">
        <f aca="false">IF(OR($L24="",$I24=""),"",ROUND($L24*(1-$I24),12))</f>
        <v/>
      </c>
      <c r="P24" s="22" t="str">
        <f aca="false">IF($O24="","",INDEX(Reference!$B$11:$B$15,MATCH($O24,Reference!$C$11:$C$15,1)))</f>
        <v/>
      </c>
      <c r="Q24" s="23" t="str">
        <f aca="false">IF(OR($M24="",$O24=""),"",IF($M24=0,0,($M24-$O24)/$M24))</f>
        <v/>
      </c>
      <c r="R24" s="21" t="str">
        <f aca="false">IF(OR($E24="",$K24="",$H24=""),"",ROUND($E24*$K24*(1-$H24),3))</f>
        <v/>
      </c>
      <c r="S24" s="21" t="str">
        <f aca="false">IF(OR($E24="",$K24="",$I24=""),"",ROUND($E24*$K24*(1-$I24),3))</f>
        <v/>
      </c>
      <c r="T24" s="24" t="str">
        <f aca="false">IF(OR($E24="",$K24="",$H24="",$D24=""),"",IF($D24&lt;=0,"",$E24*$K24*(1-$H24)/($D24/Reference!$C$7)))</f>
        <v/>
      </c>
      <c r="U24" s="25" t="str">
        <f aca="false">IF($M24="","",COUNTIFS($N$5:$N$56,$N24,$R$5:$R$56,"&gt;"&amp;$R24)+COUNTIFS($N$4:$N23,$N24,$R$4:$R23,$R24)+1)</f>
        <v/>
      </c>
      <c r="V24" s="21" t="str">
        <f aca="false">IF(OR($H24="",$I24=""),"",IF($I24&gt;=1,"",IF($H24&gt;=1,"",(1-(1-$I24)/(1-$H24))/(1-$I24))))</f>
        <v/>
      </c>
      <c r="W24" s="21" t="str">
        <f aca="false">IF(OR($D24="",$D24&lt;=0),"",MAX(0,MIN(1,(LOG10(MAX(Reference!$C$5,MIN(Reference!$C$6,$D24)))-LOG10(Reference!$C$5))/(LOG10(Reference!$C$6)-LOG10(Reference!$C$5)))))</f>
        <v/>
      </c>
      <c r="X24" s="26" t="str">
        <f aca="false">IF($M24="","",INDEX(Reference!$D$11:$D$15,MATCH($M24,Reference!$C$11:$C$15,1)))</f>
        <v/>
      </c>
      <c r="Y24" s="26" t="str">
        <f aca="false">IF($O24="","",INDEX(Reference!$D$11:$D$15,MATCH($O24,Reference!$C$11:$C$15,1)))</f>
        <v/>
      </c>
    </row>
    <row r="25" customFormat="false" ht="15" hidden="false" customHeight="true" outlineLevel="0" collapsed="false">
      <c r="A25" s="27"/>
      <c r="B25" s="15"/>
      <c r="C25" s="15"/>
      <c r="D25" s="16"/>
      <c r="E25" s="17"/>
      <c r="F25" s="17"/>
      <c r="G25" s="17"/>
      <c r="H25" s="18"/>
      <c r="I25" s="18"/>
      <c r="J25" s="19"/>
      <c r="K25" s="20" t="str">
        <f aca="false">IF($J25="","",INDEX(Reference!$C$20:$C$24,$J25))</f>
        <v/>
      </c>
      <c r="L25" s="21" t="str">
        <f aca="false">IF(OR($E25="",$F25="",$G25=""),"",ROUND($E25*$F25*$G25,12))</f>
        <v/>
      </c>
      <c r="M25" s="21" t="str">
        <f aca="false">IF(OR($L25="",$H25=""),"",ROUND($L25*(1-$H25),12))</f>
        <v/>
      </c>
      <c r="N25" s="22" t="str">
        <f aca="false">IF($M25="","",INDEX(Reference!$B$11:$B$15,MATCH($M25,Reference!$C$11:$C$15,1)))</f>
        <v/>
      </c>
      <c r="O25" s="21" t="str">
        <f aca="false">IF(OR($L25="",$I25=""),"",ROUND($L25*(1-$I25),12))</f>
        <v/>
      </c>
      <c r="P25" s="22" t="str">
        <f aca="false">IF($O25="","",INDEX(Reference!$B$11:$B$15,MATCH($O25,Reference!$C$11:$C$15,1)))</f>
        <v/>
      </c>
      <c r="Q25" s="23" t="str">
        <f aca="false">IF(OR($M25="",$O25=""),"",IF($M25=0,0,($M25-$O25)/$M25))</f>
        <v/>
      </c>
      <c r="R25" s="21" t="str">
        <f aca="false">IF(OR($E25="",$K25="",$H25=""),"",ROUND($E25*$K25*(1-$H25),3))</f>
        <v/>
      </c>
      <c r="S25" s="21" t="str">
        <f aca="false">IF(OR($E25="",$K25="",$I25=""),"",ROUND($E25*$K25*(1-$I25),3))</f>
        <v/>
      </c>
      <c r="T25" s="24" t="str">
        <f aca="false">IF(OR($E25="",$K25="",$H25="",$D25=""),"",IF($D25&lt;=0,"",$E25*$K25*(1-$H25)/($D25/Reference!$C$7)))</f>
        <v/>
      </c>
      <c r="U25" s="25" t="str">
        <f aca="false">IF($M25="","",COUNTIFS($N$5:$N$56,$N25,$R$5:$R$56,"&gt;"&amp;$R25)+COUNTIFS($N$4:$N24,$N25,$R$4:$R24,$R25)+1)</f>
        <v/>
      </c>
      <c r="V25" s="21" t="str">
        <f aca="false">IF(OR($H25="",$I25=""),"",IF($I25&gt;=1,"",IF($H25&gt;=1,"",(1-(1-$I25)/(1-$H25))/(1-$I25))))</f>
        <v/>
      </c>
      <c r="W25" s="21" t="str">
        <f aca="false">IF(OR($D25="",$D25&lt;=0),"",MAX(0,MIN(1,(LOG10(MAX(Reference!$C$5,MIN(Reference!$C$6,$D25)))-LOG10(Reference!$C$5))/(LOG10(Reference!$C$6)-LOG10(Reference!$C$5)))))</f>
        <v/>
      </c>
      <c r="X25" s="26" t="str">
        <f aca="false">IF($M25="","",INDEX(Reference!$D$11:$D$15,MATCH($M25,Reference!$C$11:$C$15,1)))</f>
        <v/>
      </c>
      <c r="Y25" s="26" t="str">
        <f aca="false">IF($O25="","",INDEX(Reference!$D$11:$D$15,MATCH($O25,Reference!$C$11:$C$15,1)))</f>
        <v/>
      </c>
    </row>
    <row r="26" customFormat="false" ht="15" hidden="false" customHeight="true" outlineLevel="0" collapsed="false">
      <c r="A26" s="27"/>
      <c r="B26" s="15"/>
      <c r="C26" s="15"/>
      <c r="D26" s="16"/>
      <c r="E26" s="17"/>
      <c r="F26" s="17"/>
      <c r="G26" s="17"/>
      <c r="H26" s="18"/>
      <c r="I26" s="18"/>
      <c r="J26" s="19"/>
      <c r="K26" s="20" t="str">
        <f aca="false">IF($J26="","",INDEX(Reference!$C$20:$C$24,$J26))</f>
        <v/>
      </c>
      <c r="L26" s="21" t="str">
        <f aca="false">IF(OR($E26="",$F26="",$G26=""),"",ROUND($E26*$F26*$G26,12))</f>
        <v/>
      </c>
      <c r="M26" s="21" t="str">
        <f aca="false">IF(OR($L26="",$H26=""),"",ROUND($L26*(1-$H26),12))</f>
        <v/>
      </c>
      <c r="N26" s="22" t="str">
        <f aca="false">IF($M26="","",INDEX(Reference!$B$11:$B$15,MATCH($M26,Reference!$C$11:$C$15,1)))</f>
        <v/>
      </c>
      <c r="O26" s="21" t="str">
        <f aca="false">IF(OR($L26="",$I26=""),"",ROUND($L26*(1-$I26),12))</f>
        <v/>
      </c>
      <c r="P26" s="22" t="str">
        <f aca="false">IF($O26="","",INDEX(Reference!$B$11:$B$15,MATCH($O26,Reference!$C$11:$C$15,1)))</f>
        <v/>
      </c>
      <c r="Q26" s="23" t="str">
        <f aca="false">IF(OR($M26="",$O26=""),"",IF($M26=0,0,($M26-$O26)/$M26))</f>
        <v/>
      </c>
      <c r="R26" s="21" t="str">
        <f aca="false">IF(OR($E26="",$K26="",$H26=""),"",ROUND($E26*$K26*(1-$H26),3))</f>
        <v/>
      </c>
      <c r="S26" s="21" t="str">
        <f aca="false">IF(OR($E26="",$K26="",$I26=""),"",ROUND($E26*$K26*(1-$I26),3))</f>
        <v/>
      </c>
      <c r="T26" s="24" t="str">
        <f aca="false">IF(OR($E26="",$K26="",$H26="",$D26=""),"",IF($D26&lt;=0,"",$E26*$K26*(1-$H26)/($D26/Reference!$C$7)))</f>
        <v/>
      </c>
      <c r="U26" s="25" t="str">
        <f aca="false">IF($M26="","",COUNTIFS($N$5:$N$56,$N26,$R$5:$R$56,"&gt;"&amp;$R26)+COUNTIFS($N$4:$N25,$N26,$R$4:$R25,$R26)+1)</f>
        <v/>
      </c>
      <c r="V26" s="21" t="str">
        <f aca="false">IF(OR($H26="",$I26=""),"",IF($I26&gt;=1,"",IF($H26&gt;=1,"",(1-(1-$I26)/(1-$H26))/(1-$I26))))</f>
        <v/>
      </c>
      <c r="W26" s="21" t="str">
        <f aca="false">IF(OR($D26="",$D26&lt;=0),"",MAX(0,MIN(1,(LOG10(MAX(Reference!$C$5,MIN(Reference!$C$6,$D26)))-LOG10(Reference!$C$5))/(LOG10(Reference!$C$6)-LOG10(Reference!$C$5)))))</f>
        <v/>
      </c>
      <c r="X26" s="26" t="str">
        <f aca="false">IF($M26="","",INDEX(Reference!$D$11:$D$15,MATCH($M26,Reference!$C$11:$C$15,1)))</f>
        <v/>
      </c>
      <c r="Y26" s="26" t="str">
        <f aca="false">IF($O26="","",INDEX(Reference!$D$11:$D$15,MATCH($O26,Reference!$C$11:$C$15,1)))</f>
        <v/>
      </c>
    </row>
    <row r="27" customFormat="false" ht="15" hidden="false" customHeight="true" outlineLevel="0" collapsed="false">
      <c r="A27" s="27"/>
      <c r="B27" s="15"/>
      <c r="C27" s="15"/>
      <c r="D27" s="16"/>
      <c r="E27" s="17"/>
      <c r="F27" s="17"/>
      <c r="G27" s="17"/>
      <c r="H27" s="18"/>
      <c r="I27" s="18"/>
      <c r="J27" s="19"/>
      <c r="K27" s="20" t="str">
        <f aca="false">IF($J27="","",INDEX(Reference!$C$20:$C$24,$J27))</f>
        <v/>
      </c>
      <c r="L27" s="21" t="str">
        <f aca="false">IF(OR($E27="",$F27="",$G27=""),"",ROUND($E27*$F27*$G27,12))</f>
        <v/>
      </c>
      <c r="M27" s="21" t="str">
        <f aca="false">IF(OR($L27="",$H27=""),"",ROUND($L27*(1-$H27),12))</f>
        <v/>
      </c>
      <c r="N27" s="22" t="str">
        <f aca="false">IF($M27="","",INDEX(Reference!$B$11:$B$15,MATCH($M27,Reference!$C$11:$C$15,1)))</f>
        <v/>
      </c>
      <c r="O27" s="21" t="str">
        <f aca="false">IF(OR($L27="",$I27=""),"",ROUND($L27*(1-$I27),12))</f>
        <v/>
      </c>
      <c r="P27" s="22" t="str">
        <f aca="false">IF($O27="","",INDEX(Reference!$B$11:$B$15,MATCH($O27,Reference!$C$11:$C$15,1)))</f>
        <v/>
      </c>
      <c r="Q27" s="23" t="str">
        <f aca="false">IF(OR($M27="",$O27=""),"",IF($M27=0,0,($M27-$O27)/$M27))</f>
        <v/>
      </c>
      <c r="R27" s="21" t="str">
        <f aca="false">IF(OR($E27="",$K27="",$H27=""),"",ROUND($E27*$K27*(1-$H27),3))</f>
        <v/>
      </c>
      <c r="S27" s="21" t="str">
        <f aca="false">IF(OR($E27="",$K27="",$I27=""),"",ROUND($E27*$K27*(1-$I27),3))</f>
        <v/>
      </c>
      <c r="T27" s="24" t="str">
        <f aca="false">IF(OR($E27="",$K27="",$H27="",$D27=""),"",IF($D27&lt;=0,"",$E27*$K27*(1-$H27)/($D27/Reference!$C$7)))</f>
        <v/>
      </c>
      <c r="U27" s="25" t="str">
        <f aca="false">IF($M27="","",COUNTIFS($N$5:$N$56,$N27,$R$5:$R$56,"&gt;"&amp;$R27)+COUNTIFS($N$4:$N26,$N27,$R$4:$R26,$R27)+1)</f>
        <v/>
      </c>
      <c r="V27" s="21" t="str">
        <f aca="false">IF(OR($H27="",$I27=""),"",IF($I27&gt;=1,"",IF($H27&gt;=1,"",(1-(1-$I27)/(1-$H27))/(1-$I27))))</f>
        <v/>
      </c>
      <c r="W27" s="21" t="str">
        <f aca="false">IF(OR($D27="",$D27&lt;=0),"",MAX(0,MIN(1,(LOG10(MAX(Reference!$C$5,MIN(Reference!$C$6,$D27)))-LOG10(Reference!$C$5))/(LOG10(Reference!$C$6)-LOG10(Reference!$C$5)))))</f>
        <v/>
      </c>
      <c r="X27" s="26" t="str">
        <f aca="false">IF($M27="","",INDEX(Reference!$D$11:$D$15,MATCH($M27,Reference!$C$11:$C$15,1)))</f>
        <v/>
      </c>
      <c r="Y27" s="26" t="str">
        <f aca="false">IF($O27="","",INDEX(Reference!$D$11:$D$15,MATCH($O27,Reference!$C$11:$C$15,1)))</f>
        <v/>
      </c>
    </row>
    <row r="28" customFormat="false" ht="15" hidden="false" customHeight="true" outlineLevel="0" collapsed="false">
      <c r="A28" s="27"/>
      <c r="B28" s="15"/>
      <c r="C28" s="15"/>
      <c r="D28" s="16"/>
      <c r="E28" s="17"/>
      <c r="F28" s="17"/>
      <c r="G28" s="17"/>
      <c r="H28" s="18"/>
      <c r="I28" s="18"/>
      <c r="J28" s="19"/>
      <c r="K28" s="20" t="str">
        <f aca="false">IF($J28="","",INDEX(Reference!$C$20:$C$24,$J28))</f>
        <v/>
      </c>
      <c r="L28" s="21" t="str">
        <f aca="false">IF(OR($E28="",$F28="",$G28=""),"",ROUND($E28*$F28*$G28,12))</f>
        <v/>
      </c>
      <c r="M28" s="21" t="str">
        <f aca="false">IF(OR($L28="",$H28=""),"",ROUND($L28*(1-$H28),12))</f>
        <v/>
      </c>
      <c r="N28" s="22" t="str">
        <f aca="false">IF($M28="","",INDEX(Reference!$B$11:$B$15,MATCH($M28,Reference!$C$11:$C$15,1)))</f>
        <v/>
      </c>
      <c r="O28" s="21" t="str">
        <f aca="false">IF(OR($L28="",$I28=""),"",ROUND($L28*(1-$I28),12))</f>
        <v/>
      </c>
      <c r="P28" s="22" t="str">
        <f aca="false">IF($O28="","",INDEX(Reference!$B$11:$B$15,MATCH($O28,Reference!$C$11:$C$15,1)))</f>
        <v/>
      </c>
      <c r="Q28" s="23" t="str">
        <f aca="false">IF(OR($M28="",$O28=""),"",IF($M28=0,0,($M28-$O28)/$M28))</f>
        <v/>
      </c>
      <c r="R28" s="21" t="str">
        <f aca="false">IF(OR($E28="",$K28="",$H28=""),"",ROUND($E28*$K28*(1-$H28),3))</f>
        <v/>
      </c>
      <c r="S28" s="21" t="str">
        <f aca="false">IF(OR($E28="",$K28="",$I28=""),"",ROUND($E28*$K28*(1-$I28),3))</f>
        <v/>
      </c>
      <c r="T28" s="24" t="str">
        <f aca="false">IF(OR($E28="",$K28="",$H28="",$D28=""),"",IF($D28&lt;=0,"",$E28*$K28*(1-$H28)/($D28/Reference!$C$7)))</f>
        <v/>
      </c>
      <c r="U28" s="25" t="str">
        <f aca="false">IF($M28="","",COUNTIFS($N$5:$N$56,$N28,$R$5:$R$56,"&gt;"&amp;$R28)+COUNTIFS($N$4:$N27,$N28,$R$4:$R27,$R28)+1)</f>
        <v/>
      </c>
      <c r="V28" s="21" t="str">
        <f aca="false">IF(OR($H28="",$I28=""),"",IF($I28&gt;=1,"",IF($H28&gt;=1,"",(1-(1-$I28)/(1-$H28))/(1-$I28))))</f>
        <v/>
      </c>
      <c r="W28" s="21" t="str">
        <f aca="false">IF(OR($D28="",$D28&lt;=0),"",MAX(0,MIN(1,(LOG10(MAX(Reference!$C$5,MIN(Reference!$C$6,$D28)))-LOG10(Reference!$C$5))/(LOG10(Reference!$C$6)-LOG10(Reference!$C$5)))))</f>
        <v/>
      </c>
      <c r="X28" s="26" t="str">
        <f aca="false">IF($M28="","",INDEX(Reference!$D$11:$D$15,MATCH($M28,Reference!$C$11:$C$15,1)))</f>
        <v/>
      </c>
      <c r="Y28" s="26" t="str">
        <f aca="false">IF($O28="","",INDEX(Reference!$D$11:$D$15,MATCH($O28,Reference!$C$11:$C$15,1)))</f>
        <v/>
      </c>
    </row>
    <row r="29" customFormat="false" ht="15" hidden="false" customHeight="true" outlineLevel="0" collapsed="false">
      <c r="A29" s="27"/>
      <c r="B29" s="15"/>
      <c r="C29" s="15"/>
      <c r="D29" s="16"/>
      <c r="E29" s="17"/>
      <c r="F29" s="17"/>
      <c r="G29" s="17"/>
      <c r="H29" s="18"/>
      <c r="I29" s="18"/>
      <c r="J29" s="19"/>
      <c r="K29" s="20" t="str">
        <f aca="false">IF($J29="","",INDEX(Reference!$C$20:$C$24,$J29))</f>
        <v/>
      </c>
      <c r="L29" s="21" t="str">
        <f aca="false">IF(OR($E29="",$F29="",$G29=""),"",ROUND($E29*$F29*$G29,12))</f>
        <v/>
      </c>
      <c r="M29" s="21" t="str">
        <f aca="false">IF(OR($L29="",$H29=""),"",ROUND($L29*(1-$H29),12))</f>
        <v/>
      </c>
      <c r="N29" s="22" t="str">
        <f aca="false">IF($M29="","",INDEX(Reference!$B$11:$B$15,MATCH($M29,Reference!$C$11:$C$15,1)))</f>
        <v/>
      </c>
      <c r="O29" s="21" t="str">
        <f aca="false">IF(OR($L29="",$I29=""),"",ROUND($L29*(1-$I29),12))</f>
        <v/>
      </c>
      <c r="P29" s="22" t="str">
        <f aca="false">IF($O29="","",INDEX(Reference!$B$11:$B$15,MATCH($O29,Reference!$C$11:$C$15,1)))</f>
        <v/>
      </c>
      <c r="Q29" s="23" t="str">
        <f aca="false">IF(OR($M29="",$O29=""),"",IF($M29=0,0,($M29-$O29)/$M29))</f>
        <v/>
      </c>
      <c r="R29" s="21" t="str">
        <f aca="false">IF(OR($E29="",$K29="",$H29=""),"",ROUND($E29*$K29*(1-$H29),3))</f>
        <v/>
      </c>
      <c r="S29" s="21" t="str">
        <f aca="false">IF(OR($E29="",$K29="",$I29=""),"",ROUND($E29*$K29*(1-$I29),3))</f>
        <v/>
      </c>
      <c r="T29" s="24" t="str">
        <f aca="false">IF(OR($E29="",$K29="",$H29="",$D29=""),"",IF($D29&lt;=0,"",$E29*$K29*(1-$H29)/($D29/Reference!$C$7)))</f>
        <v/>
      </c>
      <c r="U29" s="25" t="str">
        <f aca="false">IF($M29="","",COUNTIFS($N$5:$N$56,$N29,$R$5:$R$56,"&gt;"&amp;$R29)+COUNTIFS($N$4:$N28,$N29,$R$4:$R28,$R29)+1)</f>
        <v/>
      </c>
      <c r="V29" s="21" t="str">
        <f aca="false">IF(OR($H29="",$I29=""),"",IF($I29&gt;=1,"",IF($H29&gt;=1,"",(1-(1-$I29)/(1-$H29))/(1-$I29))))</f>
        <v/>
      </c>
      <c r="W29" s="21" t="str">
        <f aca="false">IF(OR($D29="",$D29&lt;=0),"",MAX(0,MIN(1,(LOG10(MAX(Reference!$C$5,MIN(Reference!$C$6,$D29)))-LOG10(Reference!$C$5))/(LOG10(Reference!$C$6)-LOG10(Reference!$C$5)))))</f>
        <v/>
      </c>
      <c r="X29" s="26" t="str">
        <f aca="false">IF($M29="","",INDEX(Reference!$D$11:$D$15,MATCH($M29,Reference!$C$11:$C$15,1)))</f>
        <v/>
      </c>
      <c r="Y29" s="26" t="str">
        <f aca="false">IF($O29="","",INDEX(Reference!$D$11:$D$15,MATCH($O29,Reference!$C$11:$C$15,1)))</f>
        <v/>
      </c>
    </row>
    <row r="30" customFormat="false" ht="15" hidden="false" customHeight="true" outlineLevel="0" collapsed="false">
      <c r="A30" s="27"/>
      <c r="B30" s="15"/>
      <c r="C30" s="15"/>
      <c r="D30" s="16"/>
      <c r="E30" s="17"/>
      <c r="F30" s="17"/>
      <c r="G30" s="17"/>
      <c r="H30" s="18"/>
      <c r="I30" s="18"/>
      <c r="J30" s="19"/>
      <c r="K30" s="20" t="str">
        <f aca="false">IF($J30="","",INDEX(Reference!$C$20:$C$24,$J30))</f>
        <v/>
      </c>
      <c r="L30" s="21" t="str">
        <f aca="false">IF(OR($E30="",$F30="",$G30=""),"",ROUND($E30*$F30*$G30,12))</f>
        <v/>
      </c>
      <c r="M30" s="21" t="str">
        <f aca="false">IF(OR($L30="",$H30=""),"",ROUND($L30*(1-$H30),12))</f>
        <v/>
      </c>
      <c r="N30" s="22" t="str">
        <f aca="false">IF($M30="","",INDEX(Reference!$B$11:$B$15,MATCH($M30,Reference!$C$11:$C$15,1)))</f>
        <v/>
      </c>
      <c r="O30" s="21" t="str">
        <f aca="false">IF(OR($L30="",$I30=""),"",ROUND($L30*(1-$I30),12))</f>
        <v/>
      </c>
      <c r="P30" s="22" t="str">
        <f aca="false">IF($O30="","",INDEX(Reference!$B$11:$B$15,MATCH($O30,Reference!$C$11:$C$15,1)))</f>
        <v/>
      </c>
      <c r="Q30" s="23" t="str">
        <f aca="false">IF(OR($M30="",$O30=""),"",IF($M30=0,0,($M30-$O30)/$M30))</f>
        <v/>
      </c>
      <c r="R30" s="21" t="str">
        <f aca="false">IF(OR($E30="",$K30="",$H30=""),"",ROUND($E30*$K30*(1-$H30),3))</f>
        <v/>
      </c>
      <c r="S30" s="21" t="str">
        <f aca="false">IF(OR($E30="",$K30="",$I30=""),"",ROUND($E30*$K30*(1-$I30),3))</f>
        <v/>
      </c>
      <c r="T30" s="24" t="str">
        <f aca="false">IF(OR($E30="",$K30="",$H30="",$D30=""),"",IF($D30&lt;=0,"",$E30*$K30*(1-$H30)/($D30/Reference!$C$7)))</f>
        <v/>
      </c>
      <c r="U30" s="25" t="str">
        <f aca="false">IF($M30="","",COUNTIFS($N$5:$N$56,$N30,$R$5:$R$56,"&gt;"&amp;$R30)+COUNTIFS($N$4:$N29,$N30,$R$4:$R29,$R30)+1)</f>
        <v/>
      </c>
      <c r="V30" s="21" t="str">
        <f aca="false">IF(OR($H30="",$I30=""),"",IF($I30&gt;=1,"",IF($H30&gt;=1,"",(1-(1-$I30)/(1-$H30))/(1-$I30))))</f>
        <v/>
      </c>
      <c r="W30" s="21" t="str">
        <f aca="false">IF(OR($D30="",$D30&lt;=0),"",MAX(0,MIN(1,(LOG10(MAX(Reference!$C$5,MIN(Reference!$C$6,$D30)))-LOG10(Reference!$C$5))/(LOG10(Reference!$C$6)-LOG10(Reference!$C$5)))))</f>
        <v/>
      </c>
      <c r="X30" s="26" t="str">
        <f aca="false">IF($M30="","",INDEX(Reference!$D$11:$D$15,MATCH($M30,Reference!$C$11:$C$15,1)))</f>
        <v/>
      </c>
      <c r="Y30" s="26" t="str">
        <f aca="false">IF($O30="","",INDEX(Reference!$D$11:$D$15,MATCH($O30,Reference!$C$11:$C$15,1)))</f>
        <v/>
      </c>
    </row>
    <row r="31" customFormat="false" ht="15" hidden="false" customHeight="true" outlineLevel="0" collapsed="false">
      <c r="A31" s="27"/>
      <c r="B31" s="15"/>
      <c r="C31" s="15"/>
      <c r="D31" s="16"/>
      <c r="E31" s="17"/>
      <c r="F31" s="17"/>
      <c r="G31" s="17"/>
      <c r="H31" s="18"/>
      <c r="I31" s="18"/>
      <c r="J31" s="19"/>
      <c r="K31" s="20" t="str">
        <f aca="false">IF($J31="","",INDEX(Reference!$C$20:$C$24,$J31))</f>
        <v/>
      </c>
      <c r="L31" s="21" t="str">
        <f aca="false">IF(OR($E31="",$F31="",$G31=""),"",ROUND($E31*$F31*$G31,12))</f>
        <v/>
      </c>
      <c r="M31" s="21" t="str">
        <f aca="false">IF(OR($L31="",$H31=""),"",ROUND($L31*(1-$H31),12))</f>
        <v/>
      </c>
      <c r="N31" s="22" t="str">
        <f aca="false">IF($M31="","",INDEX(Reference!$B$11:$B$15,MATCH($M31,Reference!$C$11:$C$15,1)))</f>
        <v/>
      </c>
      <c r="O31" s="21" t="str">
        <f aca="false">IF(OR($L31="",$I31=""),"",ROUND($L31*(1-$I31),12))</f>
        <v/>
      </c>
      <c r="P31" s="22" t="str">
        <f aca="false">IF($O31="","",INDEX(Reference!$B$11:$B$15,MATCH($O31,Reference!$C$11:$C$15,1)))</f>
        <v/>
      </c>
      <c r="Q31" s="23" t="str">
        <f aca="false">IF(OR($M31="",$O31=""),"",IF($M31=0,0,($M31-$O31)/$M31))</f>
        <v/>
      </c>
      <c r="R31" s="21" t="str">
        <f aca="false">IF(OR($E31="",$K31="",$H31=""),"",ROUND($E31*$K31*(1-$H31),3))</f>
        <v/>
      </c>
      <c r="S31" s="21" t="str">
        <f aca="false">IF(OR($E31="",$K31="",$I31=""),"",ROUND($E31*$K31*(1-$I31),3))</f>
        <v/>
      </c>
      <c r="T31" s="24" t="str">
        <f aca="false">IF(OR($E31="",$K31="",$H31="",$D31=""),"",IF($D31&lt;=0,"",$E31*$K31*(1-$H31)/($D31/Reference!$C$7)))</f>
        <v/>
      </c>
      <c r="U31" s="25" t="str">
        <f aca="false">IF($M31="","",COUNTIFS($N$5:$N$56,$N31,$R$5:$R$56,"&gt;"&amp;$R31)+COUNTIFS($N$4:$N30,$N31,$R$4:$R30,$R31)+1)</f>
        <v/>
      </c>
      <c r="V31" s="21" t="str">
        <f aca="false">IF(OR($H31="",$I31=""),"",IF($I31&gt;=1,"",IF($H31&gt;=1,"",(1-(1-$I31)/(1-$H31))/(1-$I31))))</f>
        <v/>
      </c>
      <c r="W31" s="21" t="str">
        <f aca="false">IF(OR($D31="",$D31&lt;=0),"",MAX(0,MIN(1,(LOG10(MAX(Reference!$C$5,MIN(Reference!$C$6,$D31)))-LOG10(Reference!$C$5))/(LOG10(Reference!$C$6)-LOG10(Reference!$C$5)))))</f>
        <v/>
      </c>
      <c r="X31" s="26" t="str">
        <f aca="false">IF($M31="","",INDEX(Reference!$D$11:$D$15,MATCH($M31,Reference!$C$11:$C$15,1)))</f>
        <v/>
      </c>
      <c r="Y31" s="26" t="str">
        <f aca="false">IF($O31="","",INDEX(Reference!$D$11:$D$15,MATCH($O31,Reference!$C$11:$C$15,1)))</f>
        <v/>
      </c>
    </row>
    <row r="32" customFormat="false" ht="15" hidden="false" customHeight="true" outlineLevel="0" collapsed="false">
      <c r="A32" s="27"/>
      <c r="B32" s="15"/>
      <c r="C32" s="15"/>
      <c r="D32" s="16"/>
      <c r="E32" s="17"/>
      <c r="F32" s="17"/>
      <c r="G32" s="17"/>
      <c r="H32" s="18"/>
      <c r="I32" s="18"/>
      <c r="J32" s="19"/>
      <c r="K32" s="20" t="str">
        <f aca="false">IF($J32="","",INDEX(Reference!$C$20:$C$24,$J32))</f>
        <v/>
      </c>
      <c r="L32" s="21" t="str">
        <f aca="false">IF(OR($E32="",$F32="",$G32=""),"",ROUND($E32*$F32*$G32,12))</f>
        <v/>
      </c>
      <c r="M32" s="21" t="str">
        <f aca="false">IF(OR($L32="",$H32=""),"",ROUND($L32*(1-$H32),12))</f>
        <v/>
      </c>
      <c r="N32" s="22" t="str">
        <f aca="false">IF($M32="","",INDEX(Reference!$B$11:$B$15,MATCH($M32,Reference!$C$11:$C$15,1)))</f>
        <v/>
      </c>
      <c r="O32" s="21" t="str">
        <f aca="false">IF(OR($L32="",$I32=""),"",ROUND($L32*(1-$I32),12))</f>
        <v/>
      </c>
      <c r="P32" s="22" t="str">
        <f aca="false">IF($O32="","",INDEX(Reference!$B$11:$B$15,MATCH($O32,Reference!$C$11:$C$15,1)))</f>
        <v/>
      </c>
      <c r="Q32" s="23" t="str">
        <f aca="false">IF(OR($M32="",$O32=""),"",IF($M32=0,0,($M32-$O32)/$M32))</f>
        <v/>
      </c>
      <c r="R32" s="21" t="str">
        <f aca="false">IF(OR($E32="",$K32="",$H32=""),"",ROUND($E32*$K32*(1-$H32),3))</f>
        <v/>
      </c>
      <c r="S32" s="21" t="str">
        <f aca="false">IF(OR($E32="",$K32="",$I32=""),"",ROUND($E32*$K32*(1-$I32),3))</f>
        <v/>
      </c>
      <c r="T32" s="24" t="str">
        <f aca="false">IF(OR($E32="",$K32="",$H32="",$D32=""),"",IF($D32&lt;=0,"",$E32*$K32*(1-$H32)/($D32/Reference!$C$7)))</f>
        <v/>
      </c>
      <c r="U32" s="25" t="str">
        <f aca="false">IF($M32="","",COUNTIFS($N$5:$N$56,$N32,$R$5:$R$56,"&gt;"&amp;$R32)+COUNTIFS($N$4:$N31,$N32,$R$4:$R31,$R32)+1)</f>
        <v/>
      </c>
      <c r="V32" s="21" t="str">
        <f aca="false">IF(OR($H32="",$I32=""),"",IF($I32&gt;=1,"",IF($H32&gt;=1,"",(1-(1-$I32)/(1-$H32))/(1-$I32))))</f>
        <v/>
      </c>
      <c r="W32" s="21" t="str">
        <f aca="false">IF(OR($D32="",$D32&lt;=0),"",MAX(0,MIN(1,(LOG10(MAX(Reference!$C$5,MIN(Reference!$C$6,$D32)))-LOG10(Reference!$C$5))/(LOG10(Reference!$C$6)-LOG10(Reference!$C$5)))))</f>
        <v/>
      </c>
      <c r="X32" s="26" t="str">
        <f aca="false">IF($M32="","",INDEX(Reference!$D$11:$D$15,MATCH($M32,Reference!$C$11:$C$15,1)))</f>
        <v/>
      </c>
      <c r="Y32" s="26" t="str">
        <f aca="false">IF($O32="","",INDEX(Reference!$D$11:$D$15,MATCH($O32,Reference!$C$11:$C$15,1)))</f>
        <v/>
      </c>
    </row>
    <row r="33" customFormat="false" ht="15" hidden="false" customHeight="true" outlineLevel="0" collapsed="false">
      <c r="A33" s="27"/>
      <c r="B33" s="15"/>
      <c r="C33" s="15"/>
      <c r="D33" s="16"/>
      <c r="E33" s="17"/>
      <c r="F33" s="17"/>
      <c r="G33" s="17"/>
      <c r="H33" s="18"/>
      <c r="I33" s="18"/>
      <c r="J33" s="19"/>
      <c r="K33" s="20" t="str">
        <f aca="false">IF($J33="","",INDEX(Reference!$C$20:$C$24,$J33))</f>
        <v/>
      </c>
      <c r="L33" s="21" t="str">
        <f aca="false">IF(OR($E33="",$F33="",$G33=""),"",ROUND($E33*$F33*$G33,12))</f>
        <v/>
      </c>
      <c r="M33" s="21" t="str">
        <f aca="false">IF(OR($L33="",$H33=""),"",ROUND($L33*(1-$H33),12))</f>
        <v/>
      </c>
      <c r="N33" s="22" t="str">
        <f aca="false">IF($M33="","",INDEX(Reference!$B$11:$B$15,MATCH($M33,Reference!$C$11:$C$15,1)))</f>
        <v/>
      </c>
      <c r="O33" s="21" t="str">
        <f aca="false">IF(OR($L33="",$I33=""),"",ROUND($L33*(1-$I33),12))</f>
        <v/>
      </c>
      <c r="P33" s="22" t="str">
        <f aca="false">IF($O33="","",INDEX(Reference!$B$11:$B$15,MATCH($O33,Reference!$C$11:$C$15,1)))</f>
        <v/>
      </c>
      <c r="Q33" s="23" t="str">
        <f aca="false">IF(OR($M33="",$O33=""),"",IF($M33=0,0,($M33-$O33)/$M33))</f>
        <v/>
      </c>
      <c r="R33" s="21" t="str">
        <f aca="false">IF(OR($E33="",$K33="",$H33=""),"",ROUND($E33*$K33*(1-$H33),3))</f>
        <v/>
      </c>
      <c r="S33" s="21" t="str">
        <f aca="false">IF(OR($E33="",$K33="",$I33=""),"",ROUND($E33*$K33*(1-$I33),3))</f>
        <v/>
      </c>
      <c r="T33" s="24" t="str">
        <f aca="false">IF(OR($E33="",$K33="",$H33="",$D33=""),"",IF($D33&lt;=0,"",$E33*$K33*(1-$H33)/($D33/Reference!$C$7)))</f>
        <v/>
      </c>
      <c r="U33" s="25" t="str">
        <f aca="false">IF($M33="","",COUNTIFS($N$5:$N$56,$N33,$R$5:$R$56,"&gt;"&amp;$R33)+COUNTIFS($N$4:$N32,$N33,$R$4:$R32,$R33)+1)</f>
        <v/>
      </c>
      <c r="V33" s="21" t="str">
        <f aca="false">IF(OR($H33="",$I33=""),"",IF($I33&gt;=1,"",IF($H33&gt;=1,"",(1-(1-$I33)/(1-$H33))/(1-$I33))))</f>
        <v/>
      </c>
      <c r="W33" s="21" t="str">
        <f aca="false">IF(OR($D33="",$D33&lt;=0),"",MAX(0,MIN(1,(LOG10(MAX(Reference!$C$5,MIN(Reference!$C$6,$D33)))-LOG10(Reference!$C$5))/(LOG10(Reference!$C$6)-LOG10(Reference!$C$5)))))</f>
        <v/>
      </c>
      <c r="X33" s="26" t="str">
        <f aca="false">IF($M33="","",INDEX(Reference!$D$11:$D$15,MATCH($M33,Reference!$C$11:$C$15,1)))</f>
        <v/>
      </c>
      <c r="Y33" s="26" t="str">
        <f aca="false">IF($O33="","",INDEX(Reference!$D$11:$D$15,MATCH($O33,Reference!$C$11:$C$15,1)))</f>
        <v/>
      </c>
    </row>
    <row r="34" customFormat="false" ht="15" hidden="false" customHeight="true" outlineLevel="0" collapsed="false">
      <c r="A34" s="27"/>
      <c r="B34" s="15"/>
      <c r="C34" s="15"/>
      <c r="D34" s="16"/>
      <c r="E34" s="17"/>
      <c r="F34" s="17"/>
      <c r="G34" s="17"/>
      <c r="H34" s="18"/>
      <c r="I34" s="18"/>
      <c r="J34" s="19"/>
      <c r="K34" s="20" t="str">
        <f aca="false">IF($J34="","",INDEX(Reference!$C$20:$C$24,$J34))</f>
        <v/>
      </c>
      <c r="L34" s="21" t="str">
        <f aca="false">IF(OR($E34="",$F34="",$G34=""),"",ROUND($E34*$F34*$G34,12))</f>
        <v/>
      </c>
      <c r="M34" s="21" t="str">
        <f aca="false">IF(OR($L34="",$H34=""),"",ROUND($L34*(1-$H34),12))</f>
        <v/>
      </c>
      <c r="N34" s="22" t="str">
        <f aca="false">IF($M34="","",INDEX(Reference!$B$11:$B$15,MATCH($M34,Reference!$C$11:$C$15,1)))</f>
        <v/>
      </c>
      <c r="O34" s="21" t="str">
        <f aca="false">IF(OR($L34="",$I34=""),"",ROUND($L34*(1-$I34),12))</f>
        <v/>
      </c>
      <c r="P34" s="22" t="str">
        <f aca="false">IF($O34="","",INDEX(Reference!$B$11:$B$15,MATCH($O34,Reference!$C$11:$C$15,1)))</f>
        <v/>
      </c>
      <c r="Q34" s="23" t="str">
        <f aca="false">IF(OR($M34="",$O34=""),"",IF($M34=0,0,($M34-$O34)/$M34))</f>
        <v/>
      </c>
      <c r="R34" s="21" t="str">
        <f aca="false">IF(OR($E34="",$K34="",$H34=""),"",ROUND($E34*$K34*(1-$H34),3))</f>
        <v/>
      </c>
      <c r="S34" s="21" t="str">
        <f aca="false">IF(OR($E34="",$K34="",$I34=""),"",ROUND($E34*$K34*(1-$I34),3))</f>
        <v/>
      </c>
      <c r="T34" s="24" t="str">
        <f aca="false">IF(OR($E34="",$K34="",$H34="",$D34=""),"",IF($D34&lt;=0,"",$E34*$K34*(1-$H34)/($D34/Reference!$C$7)))</f>
        <v/>
      </c>
      <c r="U34" s="25" t="str">
        <f aca="false">IF($M34="","",COUNTIFS($N$5:$N$56,$N34,$R$5:$R$56,"&gt;"&amp;$R34)+COUNTIFS($N$4:$N33,$N34,$R$4:$R33,$R34)+1)</f>
        <v/>
      </c>
      <c r="V34" s="21" t="str">
        <f aca="false">IF(OR($H34="",$I34=""),"",IF($I34&gt;=1,"",IF($H34&gt;=1,"",(1-(1-$I34)/(1-$H34))/(1-$I34))))</f>
        <v/>
      </c>
      <c r="W34" s="21" t="str">
        <f aca="false">IF(OR($D34="",$D34&lt;=0),"",MAX(0,MIN(1,(LOG10(MAX(Reference!$C$5,MIN(Reference!$C$6,$D34)))-LOG10(Reference!$C$5))/(LOG10(Reference!$C$6)-LOG10(Reference!$C$5)))))</f>
        <v/>
      </c>
      <c r="X34" s="26" t="str">
        <f aca="false">IF($M34="","",INDEX(Reference!$D$11:$D$15,MATCH($M34,Reference!$C$11:$C$15,1)))</f>
        <v/>
      </c>
      <c r="Y34" s="26" t="str">
        <f aca="false">IF($O34="","",INDEX(Reference!$D$11:$D$15,MATCH($O34,Reference!$C$11:$C$15,1)))</f>
        <v/>
      </c>
    </row>
    <row r="35" customFormat="false" ht="15" hidden="false" customHeight="true" outlineLevel="0" collapsed="false">
      <c r="A35" s="27"/>
      <c r="B35" s="15"/>
      <c r="C35" s="15"/>
      <c r="D35" s="16"/>
      <c r="E35" s="17"/>
      <c r="F35" s="17"/>
      <c r="G35" s="17"/>
      <c r="H35" s="18"/>
      <c r="I35" s="18"/>
      <c r="J35" s="19"/>
      <c r="K35" s="20" t="str">
        <f aca="false">IF($J35="","",INDEX(Reference!$C$20:$C$24,$J35))</f>
        <v/>
      </c>
      <c r="L35" s="21" t="str">
        <f aca="false">IF(OR($E35="",$F35="",$G35=""),"",ROUND($E35*$F35*$G35,12))</f>
        <v/>
      </c>
      <c r="M35" s="21" t="str">
        <f aca="false">IF(OR($L35="",$H35=""),"",ROUND($L35*(1-$H35),12))</f>
        <v/>
      </c>
      <c r="N35" s="22" t="str">
        <f aca="false">IF($M35="","",INDEX(Reference!$B$11:$B$15,MATCH($M35,Reference!$C$11:$C$15,1)))</f>
        <v/>
      </c>
      <c r="O35" s="21" t="str">
        <f aca="false">IF(OR($L35="",$I35=""),"",ROUND($L35*(1-$I35),12))</f>
        <v/>
      </c>
      <c r="P35" s="22" t="str">
        <f aca="false">IF($O35="","",INDEX(Reference!$B$11:$B$15,MATCH($O35,Reference!$C$11:$C$15,1)))</f>
        <v/>
      </c>
      <c r="Q35" s="23" t="str">
        <f aca="false">IF(OR($M35="",$O35=""),"",IF($M35=0,0,($M35-$O35)/$M35))</f>
        <v/>
      </c>
      <c r="R35" s="21" t="str">
        <f aca="false">IF(OR($E35="",$K35="",$H35=""),"",ROUND($E35*$K35*(1-$H35),3))</f>
        <v/>
      </c>
      <c r="S35" s="21" t="str">
        <f aca="false">IF(OR($E35="",$K35="",$I35=""),"",ROUND($E35*$K35*(1-$I35),3))</f>
        <v/>
      </c>
      <c r="T35" s="24" t="str">
        <f aca="false">IF(OR($E35="",$K35="",$H35="",$D35=""),"",IF($D35&lt;=0,"",$E35*$K35*(1-$H35)/($D35/Reference!$C$7)))</f>
        <v/>
      </c>
      <c r="U35" s="25" t="str">
        <f aca="false">IF($M35="","",COUNTIFS($N$5:$N$56,$N35,$R$5:$R$56,"&gt;"&amp;$R35)+COUNTIFS($N$4:$N34,$N35,$R$4:$R34,$R35)+1)</f>
        <v/>
      </c>
      <c r="V35" s="21" t="str">
        <f aca="false">IF(OR($H35="",$I35=""),"",IF($I35&gt;=1,"",IF($H35&gt;=1,"",(1-(1-$I35)/(1-$H35))/(1-$I35))))</f>
        <v/>
      </c>
      <c r="W35" s="21" t="str">
        <f aca="false">IF(OR($D35="",$D35&lt;=0),"",MAX(0,MIN(1,(LOG10(MAX(Reference!$C$5,MIN(Reference!$C$6,$D35)))-LOG10(Reference!$C$5))/(LOG10(Reference!$C$6)-LOG10(Reference!$C$5)))))</f>
        <v/>
      </c>
      <c r="X35" s="26" t="str">
        <f aca="false">IF($M35="","",INDEX(Reference!$D$11:$D$15,MATCH($M35,Reference!$C$11:$C$15,1)))</f>
        <v/>
      </c>
      <c r="Y35" s="26" t="str">
        <f aca="false">IF($O35="","",INDEX(Reference!$D$11:$D$15,MATCH($O35,Reference!$C$11:$C$15,1)))</f>
        <v/>
      </c>
    </row>
    <row r="36" customFormat="false" ht="15" hidden="false" customHeight="true" outlineLevel="0" collapsed="false">
      <c r="A36" s="27"/>
      <c r="B36" s="15"/>
      <c r="C36" s="15"/>
      <c r="D36" s="16"/>
      <c r="E36" s="17"/>
      <c r="F36" s="17"/>
      <c r="G36" s="17"/>
      <c r="H36" s="18"/>
      <c r="I36" s="18"/>
      <c r="J36" s="19"/>
      <c r="K36" s="20" t="str">
        <f aca="false">IF($J36="","",INDEX(Reference!$C$20:$C$24,$J36))</f>
        <v/>
      </c>
      <c r="L36" s="21" t="str">
        <f aca="false">IF(OR($E36="",$F36="",$G36=""),"",ROUND($E36*$F36*$G36,12))</f>
        <v/>
      </c>
      <c r="M36" s="21" t="str">
        <f aca="false">IF(OR($L36="",$H36=""),"",ROUND($L36*(1-$H36),12))</f>
        <v/>
      </c>
      <c r="N36" s="22" t="str">
        <f aca="false">IF($M36="","",INDEX(Reference!$B$11:$B$15,MATCH($M36,Reference!$C$11:$C$15,1)))</f>
        <v/>
      </c>
      <c r="O36" s="21" t="str">
        <f aca="false">IF(OR($L36="",$I36=""),"",ROUND($L36*(1-$I36),12))</f>
        <v/>
      </c>
      <c r="P36" s="22" t="str">
        <f aca="false">IF($O36="","",INDEX(Reference!$B$11:$B$15,MATCH($O36,Reference!$C$11:$C$15,1)))</f>
        <v/>
      </c>
      <c r="Q36" s="23" t="str">
        <f aca="false">IF(OR($M36="",$O36=""),"",IF($M36=0,0,($M36-$O36)/$M36))</f>
        <v/>
      </c>
      <c r="R36" s="21" t="str">
        <f aca="false">IF(OR($E36="",$K36="",$H36=""),"",ROUND($E36*$K36*(1-$H36),3))</f>
        <v/>
      </c>
      <c r="S36" s="21" t="str">
        <f aca="false">IF(OR($E36="",$K36="",$I36=""),"",ROUND($E36*$K36*(1-$I36),3))</f>
        <v/>
      </c>
      <c r="T36" s="24" t="str">
        <f aca="false">IF(OR($E36="",$K36="",$H36="",$D36=""),"",IF($D36&lt;=0,"",$E36*$K36*(1-$H36)/($D36/Reference!$C$7)))</f>
        <v/>
      </c>
      <c r="U36" s="25" t="str">
        <f aca="false">IF($M36="","",COUNTIFS($N$5:$N$56,$N36,$R$5:$R$56,"&gt;"&amp;$R36)+COUNTIFS($N$4:$N35,$N36,$R$4:$R35,$R36)+1)</f>
        <v/>
      </c>
      <c r="V36" s="21" t="str">
        <f aca="false">IF(OR($H36="",$I36=""),"",IF($I36&gt;=1,"",IF($H36&gt;=1,"",(1-(1-$I36)/(1-$H36))/(1-$I36))))</f>
        <v/>
      </c>
      <c r="W36" s="21" t="str">
        <f aca="false">IF(OR($D36="",$D36&lt;=0),"",MAX(0,MIN(1,(LOG10(MAX(Reference!$C$5,MIN(Reference!$C$6,$D36)))-LOG10(Reference!$C$5))/(LOG10(Reference!$C$6)-LOG10(Reference!$C$5)))))</f>
        <v/>
      </c>
      <c r="X36" s="26" t="str">
        <f aca="false">IF($M36="","",INDEX(Reference!$D$11:$D$15,MATCH($M36,Reference!$C$11:$C$15,1)))</f>
        <v/>
      </c>
      <c r="Y36" s="26" t="str">
        <f aca="false">IF($O36="","",INDEX(Reference!$D$11:$D$15,MATCH($O36,Reference!$C$11:$C$15,1)))</f>
        <v/>
      </c>
    </row>
    <row r="37" customFormat="false" ht="15" hidden="false" customHeight="true" outlineLevel="0" collapsed="false">
      <c r="A37" s="27"/>
      <c r="B37" s="15"/>
      <c r="C37" s="15"/>
      <c r="D37" s="16"/>
      <c r="E37" s="17"/>
      <c r="F37" s="17"/>
      <c r="G37" s="17"/>
      <c r="H37" s="18"/>
      <c r="I37" s="18"/>
      <c r="J37" s="19"/>
      <c r="K37" s="20" t="str">
        <f aca="false">IF($J37="","",INDEX(Reference!$C$20:$C$24,$J37))</f>
        <v/>
      </c>
      <c r="L37" s="21" t="str">
        <f aca="false">IF(OR($E37="",$F37="",$G37=""),"",ROUND($E37*$F37*$G37,12))</f>
        <v/>
      </c>
      <c r="M37" s="21" t="str">
        <f aca="false">IF(OR($L37="",$H37=""),"",ROUND($L37*(1-$H37),12))</f>
        <v/>
      </c>
      <c r="N37" s="22" t="str">
        <f aca="false">IF($M37="","",INDEX(Reference!$B$11:$B$15,MATCH($M37,Reference!$C$11:$C$15,1)))</f>
        <v/>
      </c>
      <c r="O37" s="21" t="str">
        <f aca="false">IF(OR($L37="",$I37=""),"",ROUND($L37*(1-$I37),12))</f>
        <v/>
      </c>
      <c r="P37" s="22" t="str">
        <f aca="false">IF($O37="","",INDEX(Reference!$B$11:$B$15,MATCH($O37,Reference!$C$11:$C$15,1)))</f>
        <v/>
      </c>
      <c r="Q37" s="23" t="str">
        <f aca="false">IF(OR($M37="",$O37=""),"",IF($M37=0,0,($M37-$O37)/$M37))</f>
        <v/>
      </c>
      <c r="R37" s="21" t="str">
        <f aca="false">IF(OR($E37="",$K37="",$H37=""),"",ROUND($E37*$K37*(1-$H37),3))</f>
        <v/>
      </c>
      <c r="S37" s="21" t="str">
        <f aca="false">IF(OR($E37="",$K37="",$I37=""),"",ROUND($E37*$K37*(1-$I37),3))</f>
        <v/>
      </c>
      <c r="T37" s="24" t="str">
        <f aca="false">IF(OR($E37="",$K37="",$H37="",$D37=""),"",IF($D37&lt;=0,"",$E37*$K37*(1-$H37)/($D37/Reference!$C$7)))</f>
        <v/>
      </c>
      <c r="U37" s="25" t="str">
        <f aca="false">IF($M37="","",COUNTIFS($N$5:$N$56,$N37,$R$5:$R$56,"&gt;"&amp;$R37)+COUNTIFS($N$4:$N36,$N37,$R$4:$R36,$R37)+1)</f>
        <v/>
      </c>
      <c r="V37" s="21" t="str">
        <f aca="false">IF(OR($H37="",$I37=""),"",IF($I37&gt;=1,"",IF($H37&gt;=1,"",(1-(1-$I37)/(1-$H37))/(1-$I37))))</f>
        <v/>
      </c>
      <c r="W37" s="21" t="str">
        <f aca="false">IF(OR($D37="",$D37&lt;=0),"",MAX(0,MIN(1,(LOG10(MAX(Reference!$C$5,MIN(Reference!$C$6,$D37)))-LOG10(Reference!$C$5))/(LOG10(Reference!$C$6)-LOG10(Reference!$C$5)))))</f>
        <v/>
      </c>
      <c r="X37" s="26" t="str">
        <f aca="false">IF($M37="","",INDEX(Reference!$D$11:$D$15,MATCH($M37,Reference!$C$11:$C$15,1)))</f>
        <v/>
      </c>
      <c r="Y37" s="26" t="str">
        <f aca="false">IF($O37="","",INDEX(Reference!$D$11:$D$15,MATCH($O37,Reference!$C$11:$C$15,1)))</f>
        <v/>
      </c>
    </row>
    <row r="38" customFormat="false" ht="15" hidden="false" customHeight="true" outlineLevel="0" collapsed="false">
      <c r="A38" s="27"/>
      <c r="B38" s="15"/>
      <c r="C38" s="15"/>
      <c r="D38" s="16"/>
      <c r="E38" s="17"/>
      <c r="F38" s="17"/>
      <c r="G38" s="17"/>
      <c r="H38" s="18"/>
      <c r="I38" s="18"/>
      <c r="J38" s="19"/>
      <c r="K38" s="20" t="str">
        <f aca="false">IF($J38="","",INDEX(Reference!$C$20:$C$24,$J38))</f>
        <v/>
      </c>
      <c r="L38" s="21" t="str">
        <f aca="false">IF(OR($E38="",$F38="",$G38=""),"",ROUND($E38*$F38*$G38,12))</f>
        <v/>
      </c>
      <c r="M38" s="21" t="str">
        <f aca="false">IF(OR($L38="",$H38=""),"",ROUND($L38*(1-$H38),12))</f>
        <v/>
      </c>
      <c r="N38" s="22" t="str">
        <f aca="false">IF($M38="","",INDEX(Reference!$B$11:$B$15,MATCH($M38,Reference!$C$11:$C$15,1)))</f>
        <v/>
      </c>
      <c r="O38" s="21" t="str">
        <f aca="false">IF(OR($L38="",$I38=""),"",ROUND($L38*(1-$I38),12))</f>
        <v/>
      </c>
      <c r="P38" s="22" t="str">
        <f aca="false">IF($O38="","",INDEX(Reference!$B$11:$B$15,MATCH($O38,Reference!$C$11:$C$15,1)))</f>
        <v/>
      </c>
      <c r="Q38" s="23" t="str">
        <f aca="false">IF(OR($M38="",$O38=""),"",IF($M38=0,0,($M38-$O38)/$M38))</f>
        <v/>
      </c>
      <c r="R38" s="21" t="str">
        <f aca="false">IF(OR($E38="",$K38="",$H38=""),"",ROUND($E38*$K38*(1-$H38),3))</f>
        <v/>
      </c>
      <c r="S38" s="21" t="str">
        <f aca="false">IF(OR($E38="",$K38="",$I38=""),"",ROUND($E38*$K38*(1-$I38),3))</f>
        <v/>
      </c>
      <c r="T38" s="24" t="str">
        <f aca="false">IF(OR($E38="",$K38="",$H38="",$D38=""),"",IF($D38&lt;=0,"",$E38*$K38*(1-$H38)/($D38/Reference!$C$7)))</f>
        <v/>
      </c>
      <c r="U38" s="25" t="str">
        <f aca="false">IF($M38="","",COUNTIFS($N$5:$N$56,$N38,$R$5:$R$56,"&gt;"&amp;$R38)+COUNTIFS($N$4:$N37,$N38,$R$4:$R37,$R38)+1)</f>
        <v/>
      </c>
      <c r="V38" s="21" t="str">
        <f aca="false">IF(OR($H38="",$I38=""),"",IF($I38&gt;=1,"",IF($H38&gt;=1,"",(1-(1-$I38)/(1-$H38))/(1-$I38))))</f>
        <v/>
      </c>
      <c r="W38" s="21" t="str">
        <f aca="false">IF(OR($D38="",$D38&lt;=0),"",MAX(0,MIN(1,(LOG10(MAX(Reference!$C$5,MIN(Reference!$C$6,$D38)))-LOG10(Reference!$C$5))/(LOG10(Reference!$C$6)-LOG10(Reference!$C$5)))))</f>
        <v/>
      </c>
      <c r="X38" s="26" t="str">
        <f aca="false">IF($M38="","",INDEX(Reference!$D$11:$D$15,MATCH($M38,Reference!$C$11:$C$15,1)))</f>
        <v/>
      </c>
      <c r="Y38" s="26" t="str">
        <f aca="false">IF($O38="","",INDEX(Reference!$D$11:$D$15,MATCH($O38,Reference!$C$11:$C$15,1)))</f>
        <v/>
      </c>
    </row>
    <row r="39" customFormat="false" ht="15" hidden="false" customHeight="true" outlineLevel="0" collapsed="false">
      <c r="A39" s="27"/>
      <c r="B39" s="15"/>
      <c r="C39" s="15"/>
      <c r="D39" s="16"/>
      <c r="E39" s="17"/>
      <c r="F39" s="17"/>
      <c r="G39" s="17"/>
      <c r="H39" s="18"/>
      <c r="I39" s="18"/>
      <c r="J39" s="19"/>
      <c r="K39" s="20" t="str">
        <f aca="false">IF($J39="","",INDEX(Reference!$C$20:$C$24,$J39))</f>
        <v/>
      </c>
      <c r="L39" s="21" t="str">
        <f aca="false">IF(OR($E39="",$F39="",$G39=""),"",ROUND($E39*$F39*$G39,12))</f>
        <v/>
      </c>
      <c r="M39" s="21" t="str">
        <f aca="false">IF(OR($L39="",$H39=""),"",ROUND($L39*(1-$H39),12))</f>
        <v/>
      </c>
      <c r="N39" s="22" t="str">
        <f aca="false">IF($M39="","",INDEX(Reference!$B$11:$B$15,MATCH($M39,Reference!$C$11:$C$15,1)))</f>
        <v/>
      </c>
      <c r="O39" s="21" t="str">
        <f aca="false">IF(OR($L39="",$I39=""),"",ROUND($L39*(1-$I39),12))</f>
        <v/>
      </c>
      <c r="P39" s="22" t="str">
        <f aca="false">IF($O39="","",INDEX(Reference!$B$11:$B$15,MATCH($O39,Reference!$C$11:$C$15,1)))</f>
        <v/>
      </c>
      <c r="Q39" s="23" t="str">
        <f aca="false">IF(OR($M39="",$O39=""),"",IF($M39=0,0,($M39-$O39)/$M39))</f>
        <v/>
      </c>
      <c r="R39" s="21" t="str">
        <f aca="false">IF(OR($E39="",$K39="",$H39=""),"",ROUND($E39*$K39*(1-$H39),3))</f>
        <v/>
      </c>
      <c r="S39" s="21" t="str">
        <f aca="false">IF(OR($E39="",$K39="",$I39=""),"",ROUND($E39*$K39*(1-$I39),3))</f>
        <v/>
      </c>
      <c r="T39" s="24" t="str">
        <f aca="false">IF(OR($E39="",$K39="",$H39="",$D39=""),"",IF($D39&lt;=0,"",$E39*$K39*(1-$H39)/($D39/Reference!$C$7)))</f>
        <v/>
      </c>
      <c r="U39" s="25" t="str">
        <f aca="false">IF($M39="","",COUNTIFS($N$5:$N$56,$N39,$R$5:$R$56,"&gt;"&amp;$R39)+COUNTIFS($N$4:$N38,$N39,$R$4:$R38,$R39)+1)</f>
        <v/>
      </c>
      <c r="V39" s="21" t="str">
        <f aca="false">IF(OR($H39="",$I39=""),"",IF($I39&gt;=1,"",IF($H39&gt;=1,"",(1-(1-$I39)/(1-$H39))/(1-$I39))))</f>
        <v/>
      </c>
      <c r="W39" s="21" t="str">
        <f aca="false">IF(OR($D39="",$D39&lt;=0),"",MAX(0,MIN(1,(LOG10(MAX(Reference!$C$5,MIN(Reference!$C$6,$D39)))-LOG10(Reference!$C$5))/(LOG10(Reference!$C$6)-LOG10(Reference!$C$5)))))</f>
        <v/>
      </c>
      <c r="X39" s="26" t="str">
        <f aca="false">IF($M39="","",INDEX(Reference!$D$11:$D$15,MATCH($M39,Reference!$C$11:$C$15,1)))</f>
        <v/>
      </c>
      <c r="Y39" s="26" t="str">
        <f aca="false">IF($O39="","",INDEX(Reference!$D$11:$D$15,MATCH($O39,Reference!$C$11:$C$15,1)))</f>
        <v/>
      </c>
    </row>
    <row r="40" customFormat="false" ht="15" hidden="false" customHeight="true" outlineLevel="0" collapsed="false">
      <c r="A40" s="27"/>
      <c r="B40" s="15"/>
      <c r="C40" s="15"/>
      <c r="D40" s="16"/>
      <c r="E40" s="17"/>
      <c r="F40" s="17"/>
      <c r="G40" s="17"/>
      <c r="H40" s="18"/>
      <c r="I40" s="18"/>
      <c r="J40" s="19"/>
      <c r="K40" s="20" t="str">
        <f aca="false">IF($J40="","",INDEX(Reference!$C$20:$C$24,$J40))</f>
        <v/>
      </c>
      <c r="L40" s="21" t="str">
        <f aca="false">IF(OR($E40="",$F40="",$G40=""),"",ROUND($E40*$F40*$G40,12))</f>
        <v/>
      </c>
      <c r="M40" s="21" t="str">
        <f aca="false">IF(OR($L40="",$H40=""),"",ROUND($L40*(1-$H40),12))</f>
        <v/>
      </c>
      <c r="N40" s="22" t="str">
        <f aca="false">IF($M40="","",INDEX(Reference!$B$11:$B$15,MATCH($M40,Reference!$C$11:$C$15,1)))</f>
        <v/>
      </c>
      <c r="O40" s="21" t="str">
        <f aca="false">IF(OR($L40="",$I40=""),"",ROUND($L40*(1-$I40),12))</f>
        <v/>
      </c>
      <c r="P40" s="22" t="str">
        <f aca="false">IF($O40="","",INDEX(Reference!$B$11:$B$15,MATCH($O40,Reference!$C$11:$C$15,1)))</f>
        <v/>
      </c>
      <c r="Q40" s="23" t="str">
        <f aca="false">IF(OR($M40="",$O40=""),"",IF($M40=0,0,($M40-$O40)/$M40))</f>
        <v/>
      </c>
      <c r="R40" s="21" t="str">
        <f aca="false">IF(OR($E40="",$K40="",$H40=""),"",ROUND($E40*$K40*(1-$H40),3))</f>
        <v/>
      </c>
      <c r="S40" s="21" t="str">
        <f aca="false">IF(OR($E40="",$K40="",$I40=""),"",ROUND($E40*$K40*(1-$I40),3))</f>
        <v/>
      </c>
      <c r="T40" s="24" t="str">
        <f aca="false">IF(OR($E40="",$K40="",$H40="",$D40=""),"",IF($D40&lt;=0,"",$E40*$K40*(1-$H40)/($D40/Reference!$C$7)))</f>
        <v/>
      </c>
      <c r="U40" s="25" t="str">
        <f aca="false">IF($M40="","",COUNTIFS($N$5:$N$56,$N40,$R$5:$R$56,"&gt;"&amp;$R40)+COUNTIFS($N$4:$N39,$N40,$R$4:$R39,$R40)+1)</f>
        <v/>
      </c>
      <c r="V40" s="21" t="str">
        <f aca="false">IF(OR($H40="",$I40=""),"",IF($I40&gt;=1,"",IF($H40&gt;=1,"",(1-(1-$I40)/(1-$H40))/(1-$I40))))</f>
        <v/>
      </c>
      <c r="W40" s="21" t="str">
        <f aca="false">IF(OR($D40="",$D40&lt;=0),"",MAX(0,MIN(1,(LOG10(MAX(Reference!$C$5,MIN(Reference!$C$6,$D40)))-LOG10(Reference!$C$5))/(LOG10(Reference!$C$6)-LOG10(Reference!$C$5)))))</f>
        <v/>
      </c>
      <c r="X40" s="26" t="str">
        <f aca="false">IF($M40="","",INDEX(Reference!$D$11:$D$15,MATCH($M40,Reference!$C$11:$C$15,1)))</f>
        <v/>
      </c>
      <c r="Y40" s="26" t="str">
        <f aca="false">IF($O40="","",INDEX(Reference!$D$11:$D$15,MATCH($O40,Reference!$C$11:$C$15,1)))</f>
        <v/>
      </c>
    </row>
    <row r="41" customFormat="false" ht="15" hidden="false" customHeight="true" outlineLevel="0" collapsed="false">
      <c r="A41" s="27"/>
      <c r="B41" s="15"/>
      <c r="C41" s="15"/>
      <c r="D41" s="16"/>
      <c r="E41" s="17"/>
      <c r="F41" s="17"/>
      <c r="G41" s="17"/>
      <c r="H41" s="18"/>
      <c r="I41" s="18"/>
      <c r="J41" s="19"/>
      <c r="K41" s="20" t="str">
        <f aca="false">IF($J41="","",INDEX(Reference!$C$20:$C$24,$J41))</f>
        <v/>
      </c>
      <c r="L41" s="21" t="str">
        <f aca="false">IF(OR($E41="",$F41="",$G41=""),"",ROUND($E41*$F41*$G41,12))</f>
        <v/>
      </c>
      <c r="M41" s="21" t="str">
        <f aca="false">IF(OR($L41="",$H41=""),"",ROUND($L41*(1-$H41),12))</f>
        <v/>
      </c>
      <c r="N41" s="22" t="str">
        <f aca="false">IF($M41="","",INDEX(Reference!$B$11:$B$15,MATCH($M41,Reference!$C$11:$C$15,1)))</f>
        <v/>
      </c>
      <c r="O41" s="21" t="str">
        <f aca="false">IF(OR($L41="",$I41=""),"",ROUND($L41*(1-$I41),12))</f>
        <v/>
      </c>
      <c r="P41" s="22" t="str">
        <f aca="false">IF($O41="","",INDEX(Reference!$B$11:$B$15,MATCH($O41,Reference!$C$11:$C$15,1)))</f>
        <v/>
      </c>
      <c r="Q41" s="23" t="str">
        <f aca="false">IF(OR($M41="",$O41=""),"",IF($M41=0,0,($M41-$O41)/$M41))</f>
        <v/>
      </c>
      <c r="R41" s="21" t="str">
        <f aca="false">IF(OR($E41="",$K41="",$H41=""),"",ROUND($E41*$K41*(1-$H41),3))</f>
        <v/>
      </c>
      <c r="S41" s="21" t="str">
        <f aca="false">IF(OR($E41="",$K41="",$I41=""),"",ROUND($E41*$K41*(1-$I41),3))</f>
        <v/>
      </c>
      <c r="T41" s="24" t="str">
        <f aca="false">IF(OR($E41="",$K41="",$H41="",$D41=""),"",IF($D41&lt;=0,"",$E41*$K41*(1-$H41)/($D41/Reference!$C$7)))</f>
        <v/>
      </c>
      <c r="U41" s="25" t="str">
        <f aca="false">IF($M41="","",COUNTIFS($N$5:$N$56,$N41,$R$5:$R$56,"&gt;"&amp;$R41)+COUNTIFS($N$4:$N40,$N41,$R$4:$R40,$R41)+1)</f>
        <v/>
      </c>
      <c r="V41" s="21" t="str">
        <f aca="false">IF(OR($H41="",$I41=""),"",IF($I41&gt;=1,"",IF($H41&gt;=1,"",(1-(1-$I41)/(1-$H41))/(1-$I41))))</f>
        <v/>
      </c>
      <c r="W41" s="21" t="str">
        <f aca="false">IF(OR($D41="",$D41&lt;=0),"",MAX(0,MIN(1,(LOG10(MAX(Reference!$C$5,MIN(Reference!$C$6,$D41)))-LOG10(Reference!$C$5))/(LOG10(Reference!$C$6)-LOG10(Reference!$C$5)))))</f>
        <v/>
      </c>
      <c r="X41" s="26" t="str">
        <f aca="false">IF($M41="","",INDEX(Reference!$D$11:$D$15,MATCH($M41,Reference!$C$11:$C$15,1)))</f>
        <v/>
      </c>
      <c r="Y41" s="26" t="str">
        <f aca="false">IF($O41="","",INDEX(Reference!$D$11:$D$15,MATCH($O41,Reference!$C$11:$C$15,1)))</f>
        <v/>
      </c>
    </row>
    <row r="42" customFormat="false" ht="15" hidden="false" customHeight="true" outlineLevel="0" collapsed="false">
      <c r="A42" s="27"/>
      <c r="B42" s="15"/>
      <c r="C42" s="15"/>
      <c r="D42" s="16"/>
      <c r="E42" s="17"/>
      <c r="F42" s="17"/>
      <c r="G42" s="17"/>
      <c r="H42" s="18"/>
      <c r="I42" s="18"/>
      <c r="J42" s="19"/>
      <c r="K42" s="20" t="str">
        <f aca="false">IF($J42="","",INDEX(Reference!$C$20:$C$24,$J42))</f>
        <v/>
      </c>
      <c r="L42" s="21" t="str">
        <f aca="false">IF(OR($E42="",$F42="",$G42=""),"",ROUND($E42*$F42*$G42,12))</f>
        <v/>
      </c>
      <c r="M42" s="21" t="str">
        <f aca="false">IF(OR($L42="",$H42=""),"",ROUND($L42*(1-$H42),12))</f>
        <v/>
      </c>
      <c r="N42" s="22" t="str">
        <f aca="false">IF($M42="","",INDEX(Reference!$B$11:$B$15,MATCH($M42,Reference!$C$11:$C$15,1)))</f>
        <v/>
      </c>
      <c r="O42" s="21" t="str">
        <f aca="false">IF(OR($L42="",$I42=""),"",ROUND($L42*(1-$I42),12))</f>
        <v/>
      </c>
      <c r="P42" s="22" t="str">
        <f aca="false">IF($O42="","",INDEX(Reference!$B$11:$B$15,MATCH($O42,Reference!$C$11:$C$15,1)))</f>
        <v/>
      </c>
      <c r="Q42" s="23" t="str">
        <f aca="false">IF(OR($M42="",$O42=""),"",IF($M42=0,0,($M42-$O42)/$M42))</f>
        <v/>
      </c>
      <c r="R42" s="21" t="str">
        <f aca="false">IF(OR($E42="",$K42="",$H42=""),"",ROUND($E42*$K42*(1-$H42),3))</f>
        <v/>
      </c>
      <c r="S42" s="21" t="str">
        <f aca="false">IF(OR($E42="",$K42="",$I42=""),"",ROUND($E42*$K42*(1-$I42),3))</f>
        <v/>
      </c>
      <c r="T42" s="24" t="str">
        <f aca="false">IF(OR($E42="",$K42="",$H42="",$D42=""),"",IF($D42&lt;=0,"",$E42*$K42*(1-$H42)/($D42/Reference!$C$7)))</f>
        <v/>
      </c>
      <c r="U42" s="25" t="str">
        <f aca="false">IF($M42="","",COUNTIFS($N$5:$N$56,$N42,$R$5:$R$56,"&gt;"&amp;$R42)+COUNTIFS($N$4:$N41,$N42,$R$4:$R41,$R42)+1)</f>
        <v/>
      </c>
      <c r="V42" s="21" t="str">
        <f aca="false">IF(OR($H42="",$I42=""),"",IF($I42&gt;=1,"",IF($H42&gt;=1,"",(1-(1-$I42)/(1-$H42))/(1-$I42))))</f>
        <v/>
      </c>
      <c r="W42" s="21" t="str">
        <f aca="false">IF(OR($D42="",$D42&lt;=0),"",MAX(0,MIN(1,(LOG10(MAX(Reference!$C$5,MIN(Reference!$C$6,$D42)))-LOG10(Reference!$C$5))/(LOG10(Reference!$C$6)-LOG10(Reference!$C$5)))))</f>
        <v/>
      </c>
      <c r="X42" s="26" t="str">
        <f aca="false">IF($M42="","",INDEX(Reference!$D$11:$D$15,MATCH($M42,Reference!$C$11:$C$15,1)))</f>
        <v/>
      </c>
      <c r="Y42" s="26" t="str">
        <f aca="false">IF($O42="","",INDEX(Reference!$D$11:$D$15,MATCH($O42,Reference!$C$11:$C$15,1)))</f>
        <v/>
      </c>
    </row>
    <row r="43" customFormat="false" ht="15" hidden="false" customHeight="true" outlineLevel="0" collapsed="false">
      <c r="A43" s="27"/>
      <c r="B43" s="15"/>
      <c r="C43" s="15"/>
      <c r="D43" s="16"/>
      <c r="E43" s="17"/>
      <c r="F43" s="17"/>
      <c r="G43" s="17"/>
      <c r="H43" s="18"/>
      <c r="I43" s="18"/>
      <c r="J43" s="19"/>
      <c r="K43" s="20" t="str">
        <f aca="false">IF($J43="","",INDEX(Reference!$C$20:$C$24,$J43))</f>
        <v/>
      </c>
      <c r="L43" s="21" t="str">
        <f aca="false">IF(OR($E43="",$F43="",$G43=""),"",ROUND($E43*$F43*$G43,12))</f>
        <v/>
      </c>
      <c r="M43" s="21" t="str">
        <f aca="false">IF(OR($L43="",$H43=""),"",ROUND($L43*(1-$H43),12))</f>
        <v/>
      </c>
      <c r="N43" s="22" t="str">
        <f aca="false">IF($M43="","",INDEX(Reference!$B$11:$B$15,MATCH($M43,Reference!$C$11:$C$15,1)))</f>
        <v/>
      </c>
      <c r="O43" s="21" t="str">
        <f aca="false">IF(OR($L43="",$I43=""),"",ROUND($L43*(1-$I43),12))</f>
        <v/>
      </c>
      <c r="P43" s="22" t="str">
        <f aca="false">IF($O43="","",INDEX(Reference!$B$11:$B$15,MATCH($O43,Reference!$C$11:$C$15,1)))</f>
        <v/>
      </c>
      <c r="Q43" s="23" t="str">
        <f aca="false">IF(OR($M43="",$O43=""),"",IF($M43=0,0,($M43-$O43)/$M43))</f>
        <v/>
      </c>
      <c r="R43" s="21" t="str">
        <f aca="false">IF(OR($E43="",$K43="",$H43=""),"",ROUND($E43*$K43*(1-$H43),3))</f>
        <v/>
      </c>
      <c r="S43" s="21" t="str">
        <f aca="false">IF(OR($E43="",$K43="",$I43=""),"",ROUND($E43*$K43*(1-$I43),3))</f>
        <v/>
      </c>
      <c r="T43" s="24" t="str">
        <f aca="false">IF(OR($E43="",$K43="",$H43="",$D43=""),"",IF($D43&lt;=0,"",$E43*$K43*(1-$H43)/($D43/Reference!$C$7)))</f>
        <v/>
      </c>
      <c r="U43" s="25" t="str">
        <f aca="false">IF($M43="","",COUNTIFS($N$5:$N$56,$N43,$R$5:$R$56,"&gt;"&amp;$R43)+COUNTIFS($N$4:$N42,$N43,$R$4:$R42,$R43)+1)</f>
        <v/>
      </c>
      <c r="V43" s="21" t="str">
        <f aca="false">IF(OR($H43="",$I43=""),"",IF($I43&gt;=1,"",IF($H43&gt;=1,"",(1-(1-$I43)/(1-$H43))/(1-$I43))))</f>
        <v/>
      </c>
      <c r="W43" s="21" t="str">
        <f aca="false">IF(OR($D43="",$D43&lt;=0),"",MAX(0,MIN(1,(LOG10(MAX(Reference!$C$5,MIN(Reference!$C$6,$D43)))-LOG10(Reference!$C$5))/(LOG10(Reference!$C$6)-LOG10(Reference!$C$5)))))</f>
        <v/>
      </c>
      <c r="X43" s="26" t="str">
        <f aca="false">IF($M43="","",INDEX(Reference!$D$11:$D$15,MATCH($M43,Reference!$C$11:$C$15,1)))</f>
        <v/>
      </c>
      <c r="Y43" s="26" t="str">
        <f aca="false">IF($O43="","",INDEX(Reference!$D$11:$D$15,MATCH($O43,Reference!$C$11:$C$15,1)))</f>
        <v/>
      </c>
    </row>
    <row r="44" customFormat="false" ht="15" hidden="false" customHeight="true" outlineLevel="0" collapsed="false">
      <c r="A44" s="27"/>
      <c r="B44" s="15"/>
      <c r="C44" s="15"/>
      <c r="D44" s="16"/>
      <c r="E44" s="17"/>
      <c r="F44" s="17"/>
      <c r="G44" s="17"/>
      <c r="H44" s="18"/>
      <c r="I44" s="18"/>
      <c r="J44" s="19"/>
      <c r="K44" s="20" t="str">
        <f aca="false">IF($J44="","",INDEX(Reference!$C$20:$C$24,$J44))</f>
        <v/>
      </c>
      <c r="L44" s="21" t="str">
        <f aca="false">IF(OR($E44="",$F44="",$G44=""),"",ROUND($E44*$F44*$G44,12))</f>
        <v/>
      </c>
      <c r="M44" s="21" t="str">
        <f aca="false">IF(OR($L44="",$H44=""),"",ROUND($L44*(1-$H44),12))</f>
        <v/>
      </c>
      <c r="N44" s="22" t="str">
        <f aca="false">IF($M44="","",INDEX(Reference!$B$11:$B$15,MATCH($M44,Reference!$C$11:$C$15,1)))</f>
        <v/>
      </c>
      <c r="O44" s="21" t="str">
        <f aca="false">IF(OR($L44="",$I44=""),"",ROUND($L44*(1-$I44),12))</f>
        <v/>
      </c>
      <c r="P44" s="22" t="str">
        <f aca="false">IF($O44="","",INDEX(Reference!$B$11:$B$15,MATCH($O44,Reference!$C$11:$C$15,1)))</f>
        <v/>
      </c>
      <c r="Q44" s="23" t="str">
        <f aca="false">IF(OR($M44="",$O44=""),"",IF($M44=0,0,($M44-$O44)/$M44))</f>
        <v/>
      </c>
      <c r="R44" s="21" t="str">
        <f aca="false">IF(OR($E44="",$K44="",$H44=""),"",ROUND($E44*$K44*(1-$H44),3))</f>
        <v/>
      </c>
      <c r="S44" s="21" t="str">
        <f aca="false">IF(OR($E44="",$K44="",$I44=""),"",ROUND($E44*$K44*(1-$I44),3))</f>
        <v/>
      </c>
      <c r="T44" s="24" t="str">
        <f aca="false">IF(OR($E44="",$K44="",$H44="",$D44=""),"",IF($D44&lt;=0,"",$E44*$K44*(1-$H44)/($D44/Reference!$C$7)))</f>
        <v/>
      </c>
      <c r="U44" s="25" t="str">
        <f aca="false">IF($M44="","",COUNTIFS($N$5:$N$56,$N44,$R$5:$R$56,"&gt;"&amp;$R44)+COUNTIFS($N$4:$N43,$N44,$R$4:$R43,$R44)+1)</f>
        <v/>
      </c>
      <c r="V44" s="21" t="str">
        <f aca="false">IF(OR($H44="",$I44=""),"",IF($I44&gt;=1,"",IF($H44&gt;=1,"",(1-(1-$I44)/(1-$H44))/(1-$I44))))</f>
        <v/>
      </c>
      <c r="W44" s="21" t="str">
        <f aca="false">IF(OR($D44="",$D44&lt;=0),"",MAX(0,MIN(1,(LOG10(MAX(Reference!$C$5,MIN(Reference!$C$6,$D44)))-LOG10(Reference!$C$5))/(LOG10(Reference!$C$6)-LOG10(Reference!$C$5)))))</f>
        <v/>
      </c>
      <c r="X44" s="26" t="str">
        <f aca="false">IF($M44="","",INDEX(Reference!$D$11:$D$15,MATCH($M44,Reference!$C$11:$C$15,1)))</f>
        <v/>
      </c>
      <c r="Y44" s="26" t="str">
        <f aca="false">IF($O44="","",INDEX(Reference!$D$11:$D$15,MATCH($O44,Reference!$C$11:$C$15,1)))</f>
        <v/>
      </c>
    </row>
    <row r="45" customFormat="false" ht="15" hidden="false" customHeight="true" outlineLevel="0" collapsed="false">
      <c r="A45" s="27"/>
      <c r="B45" s="15"/>
      <c r="C45" s="15"/>
      <c r="D45" s="16"/>
      <c r="E45" s="17"/>
      <c r="F45" s="17"/>
      <c r="G45" s="17"/>
      <c r="H45" s="18"/>
      <c r="I45" s="18"/>
      <c r="J45" s="19"/>
      <c r="K45" s="20" t="str">
        <f aca="false">IF($J45="","",INDEX(Reference!$C$20:$C$24,$J45))</f>
        <v/>
      </c>
      <c r="L45" s="21" t="str">
        <f aca="false">IF(OR($E45="",$F45="",$G45=""),"",ROUND($E45*$F45*$G45,12))</f>
        <v/>
      </c>
      <c r="M45" s="21" t="str">
        <f aca="false">IF(OR($L45="",$H45=""),"",ROUND($L45*(1-$H45),12))</f>
        <v/>
      </c>
      <c r="N45" s="22" t="str">
        <f aca="false">IF($M45="","",INDEX(Reference!$B$11:$B$15,MATCH($M45,Reference!$C$11:$C$15,1)))</f>
        <v/>
      </c>
      <c r="O45" s="21" t="str">
        <f aca="false">IF(OR($L45="",$I45=""),"",ROUND($L45*(1-$I45),12))</f>
        <v/>
      </c>
      <c r="P45" s="22" t="str">
        <f aca="false">IF($O45="","",INDEX(Reference!$B$11:$B$15,MATCH($O45,Reference!$C$11:$C$15,1)))</f>
        <v/>
      </c>
      <c r="Q45" s="23" t="str">
        <f aca="false">IF(OR($M45="",$O45=""),"",IF($M45=0,0,($M45-$O45)/$M45))</f>
        <v/>
      </c>
      <c r="R45" s="21" t="str">
        <f aca="false">IF(OR($E45="",$K45="",$H45=""),"",ROUND($E45*$K45*(1-$H45),3))</f>
        <v/>
      </c>
      <c r="S45" s="21" t="str">
        <f aca="false">IF(OR($E45="",$K45="",$I45=""),"",ROUND($E45*$K45*(1-$I45),3))</f>
        <v/>
      </c>
      <c r="T45" s="24" t="str">
        <f aca="false">IF(OR($E45="",$K45="",$H45="",$D45=""),"",IF($D45&lt;=0,"",$E45*$K45*(1-$H45)/($D45/Reference!$C$7)))</f>
        <v/>
      </c>
      <c r="U45" s="25" t="str">
        <f aca="false">IF($M45="","",COUNTIFS($N$5:$N$56,$N45,$R$5:$R$56,"&gt;"&amp;$R45)+COUNTIFS($N$4:$N44,$N45,$R$4:$R44,$R45)+1)</f>
        <v/>
      </c>
      <c r="V45" s="21" t="str">
        <f aca="false">IF(OR($H45="",$I45=""),"",IF($I45&gt;=1,"",IF($H45&gt;=1,"",(1-(1-$I45)/(1-$H45))/(1-$I45))))</f>
        <v/>
      </c>
      <c r="W45" s="21" t="str">
        <f aca="false">IF(OR($D45="",$D45&lt;=0),"",MAX(0,MIN(1,(LOG10(MAX(Reference!$C$5,MIN(Reference!$C$6,$D45)))-LOG10(Reference!$C$5))/(LOG10(Reference!$C$6)-LOG10(Reference!$C$5)))))</f>
        <v/>
      </c>
      <c r="X45" s="26" t="str">
        <f aca="false">IF($M45="","",INDEX(Reference!$D$11:$D$15,MATCH($M45,Reference!$C$11:$C$15,1)))</f>
        <v/>
      </c>
      <c r="Y45" s="26" t="str">
        <f aca="false">IF($O45="","",INDEX(Reference!$D$11:$D$15,MATCH($O45,Reference!$C$11:$C$15,1)))</f>
        <v/>
      </c>
    </row>
    <row r="46" customFormat="false" ht="15" hidden="false" customHeight="true" outlineLevel="0" collapsed="false">
      <c r="A46" s="27"/>
      <c r="B46" s="15"/>
      <c r="C46" s="15"/>
      <c r="D46" s="16"/>
      <c r="E46" s="17"/>
      <c r="F46" s="17"/>
      <c r="G46" s="17"/>
      <c r="H46" s="18"/>
      <c r="I46" s="18"/>
      <c r="J46" s="19"/>
      <c r="K46" s="20" t="str">
        <f aca="false">IF($J46="","",INDEX(Reference!$C$20:$C$24,$J46))</f>
        <v/>
      </c>
      <c r="L46" s="21" t="str">
        <f aca="false">IF(OR($E46="",$F46="",$G46=""),"",ROUND($E46*$F46*$G46,12))</f>
        <v/>
      </c>
      <c r="M46" s="21" t="str">
        <f aca="false">IF(OR($L46="",$H46=""),"",ROUND($L46*(1-$H46),12))</f>
        <v/>
      </c>
      <c r="N46" s="22" t="str">
        <f aca="false">IF($M46="","",INDEX(Reference!$B$11:$B$15,MATCH($M46,Reference!$C$11:$C$15,1)))</f>
        <v/>
      </c>
      <c r="O46" s="21" t="str">
        <f aca="false">IF(OR($L46="",$I46=""),"",ROUND($L46*(1-$I46),12))</f>
        <v/>
      </c>
      <c r="P46" s="22" t="str">
        <f aca="false">IF($O46="","",INDEX(Reference!$B$11:$B$15,MATCH($O46,Reference!$C$11:$C$15,1)))</f>
        <v/>
      </c>
      <c r="Q46" s="23" t="str">
        <f aca="false">IF(OR($M46="",$O46=""),"",IF($M46=0,0,($M46-$O46)/$M46))</f>
        <v/>
      </c>
      <c r="R46" s="21" t="str">
        <f aca="false">IF(OR($E46="",$K46="",$H46=""),"",ROUND($E46*$K46*(1-$H46),3))</f>
        <v/>
      </c>
      <c r="S46" s="21" t="str">
        <f aca="false">IF(OR($E46="",$K46="",$I46=""),"",ROUND($E46*$K46*(1-$I46),3))</f>
        <v/>
      </c>
      <c r="T46" s="24" t="str">
        <f aca="false">IF(OR($E46="",$K46="",$H46="",$D46=""),"",IF($D46&lt;=0,"",$E46*$K46*(1-$H46)/($D46/Reference!$C$7)))</f>
        <v/>
      </c>
      <c r="U46" s="25" t="str">
        <f aca="false">IF($M46="","",COUNTIFS($N$5:$N$56,$N46,$R$5:$R$56,"&gt;"&amp;$R46)+COUNTIFS($N$4:$N45,$N46,$R$4:$R45,$R46)+1)</f>
        <v/>
      </c>
      <c r="V46" s="21" t="str">
        <f aca="false">IF(OR($H46="",$I46=""),"",IF($I46&gt;=1,"",IF($H46&gt;=1,"",(1-(1-$I46)/(1-$H46))/(1-$I46))))</f>
        <v/>
      </c>
      <c r="W46" s="21" t="str">
        <f aca="false">IF(OR($D46="",$D46&lt;=0),"",MAX(0,MIN(1,(LOG10(MAX(Reference!$C$5,MIN(Reference!$C$6,$D46)))-LOG10(Reference!$C$5))/(LOG10(Reference!$C$6)-LOG10(Reference!$C$5)))))</f>
        <v/>
      </c>
      <c r="X46" s="26" t="str">
        <f aca="false">IF($M46="","",INDEX(Reference!$D$11:$D$15,MATCH($M46,Reference!$C$11:$C$15,1)))</f>
        <v/>
      </c>
      <c r="Y46" s="26" t="str">
        <f aca="false">IF($O46="","",INDEX(Reference!$D$11:$D$15,MATCH($O46,Reference!$C$11:$C$15,1)))</f>
        <v/>
      </c>
    </row>
    <row r="47" customFormat="false" ht="15" hidden="false" customHeight="true" outlineLevel="0" collapsed="false">
      <c r="A47" s="27"/>
      <c r="B47" s="15"/>
      <c r="C47" s="15"/>
      <c r="D47" s="16"/>
      <c r="E47" s="17"/>
      <c r="F47" s="17"/>
      <c r="G47" s="17"/>
      <c r="H47" s="18"/>
      <c r="I47" s="18"/>
      <c r="J47" s="19"/>
      <c r="K47" s="20" t="str">
        <f aca="false">IF($J47="","",INDEX(Reference!$C$20:$C$24,$J47))</f>
        <v/>
      </c>
      <c r="L47" s="21" t="str">
        <f aca="false">IF(OR($E47="",$F47="",$G47=""),"",ROUND($E47*$F47*$G47,12))</f>
        <v/>
      </c>
      <c r="M47" s="21" t="str">
        <f aca="false">IF(OR($L47="",$H47=""),"",ROUND($L47*(1-$H47),12))</f>
        <v/>
      </c>
      <c r="N47" s="22" t="str">
        <f aca="false">IF($M47="","",INDEX(Reference!$B$11:$B$15,MATCH($M47,Reference!$C$11:$C$15,1)))</f>
        <v/>
      </c>
      <c r="O47" s="21" t="str">
        <f aca="false">IF(OR($L47="",$I47=""),"",ROUND($L47*(1-$I47),12))</f>
        <v/>
      </c>
      <c r="P47" s="22" t="str">
        <f aca="false">IF($O47="","",INDEX(Reference!$B$11:$B$15,MATCH($O47,Reference!$C$11:$C$15,1)))</f>
        <v/>
      </c>
      <c r="Q47" s="23" t="str">
        <f aca="false">IF(OR($M47="",$O47=""),"",IF($M47=0,0,($M47-$O47)/$M47))</f>
        <v/>
      </c>
      <c r="R47" s="21" t="str">
        <f aca="false">IF(OR($E47="",$K47="",$H47=""),"",ROUND($E47*$K47*(1-$H47),3))</f>
        <v/>
      </c>
      <c r="S47" s="21" t="str">
        <f aca="false">IF(OR($E47="",$K47="",$I47=""),"",ROUND($E47*$K47*(1-$I47),3))</f>
        <v/>
      </c>
      <c r="T47" s="24" t="str">
        <f aca="false">IF(OR($E47="",$K47="",$H47="",$D47=""),"",IF($D47&lt;=0,"",$E47*$K47*(1-$H47)/($D47/Reference!$C$7)))</f>
        <v/>
      </c>
      <c r="U47" s="25" t="str">
        <f aca="false">IF($M47="","",COUNTIFS($N$5:$N$56,$N47,$R$5:$R$56,"&gt;"&amp;$R47)+COUNTIFS($N$4:$N46,$N47,$R$4:$R46,$R47)+1)</f>
        <v/>
      </c>
      <c r="V47" s="21" t="str">
        <f aca="false">IF(OR($H47="",$I47=""),"",IF($I47&gt;=1,"",IF($H47&gt;=1,"",(1-(1-$I47)/(1-$H47))/(1-$I47))))</f>
        <v/>
      </c>
      <c r="W47" s="21" t="str">
        <f aca="false">IF(OR($D47="",$D47&lt;=0),"",MAX(0,MIN(1,(LOG10(MAX(Reference!$C$5,MIN(Reference!$C$6,$D47)))-LOG10(Reference!$C$5))/(LOG10(Reference!$C$6)-LOG10(Reference!$C$5)))))</f>
        <v/>
      </c>
      <c r="X47" s="26" t="str">
        <f aca="false">IF($M47="","",INDEX(Reference!$D$11:$D$15,MATCH($M47,Reference!$C$11:$C$15,1)))</f>
        <v/>
      </c>
      <c r="Y47" s="26" t="str">
        <f aca="false">IF($O47="","",INDEX(Reference!$D$11:$D$15,MATCH($O47,Reference!$C$11:$C$15,1)))</f>
        <v/>
      </c>
    </row>
    <row r="48" customFormat="false" ht="15" hidden="false" customHeight="true" outlineLevel="0" collapsed="false">
      <c r="A48" s="27"/>
      <c r="B48" s="15"/>
      <c r="C48" s="15"/>
      <c r="D48" s="16"/>
      <c r="E48" s="17"/>
      <c r="F48" s="17"/>
      <c r="G48" s="17"/>
      <c r="H48" s="18"/>
      <c r="I48" s="18"/>
      <c r="J48" s="19"/>
      <c r="K48" s="20" t="str">
        <f aca="false">IF($J48="","",INDEX(Reference!$C$20:$C$24,$J48))</f>
        <v/>
      </c>
      <c r="L48" s="21" t="str">
        <f aca="false">IF(OR($E48="",$F48="",$G48=""),"",ROUND($E48*$F48*$G48,12))</f>
        <v/>
      </c>
      <c r="M48" s="21" t="str">
        <f aca="false">IF(OR($L48="",$H48=""),"",ROUND($L48*(1-$H48),12))</f>
        <v/>
      </c>
      <c r="N48" s="22" t="str">
        <f aca="false">IF($M48="","",INDEX(Reference!$B$11:$B$15,MATCH($M48,Reference!$C$11:$C$15,1)))</f>
        <v/>
      </c>
      <c r="O48" s="21" t="str">
        <f aca="false">IF(OR($L48="",$I48=""),"",ROUND($L48*(1-$I48),12))</f>
        <v/>
      </c>
      <c r="P48" s="22" t="str">
        <f aca="false">IF($O48="","",INDEX(Reference!$B$11:$B$15,MATCH($O48,Reference!$C$11:$C$15,1)))</f>
        <v/>
      </c>
      <c r="Q48" s="23" t="str">
        <f aca="false">IF(OR($M48="",$O48=""),"",IF($M48=0,0,($M48-$O48)/$M48))</f>
        <v/>
      </c>
      <c r="R48" s="21" t="str">
        <f aca="false">IF(OR($E48="",$K48="",$H48=""),"",ROUND($E48*$K48*(1-$H48),3))</f>
        <v/>
      </c>
      <c r="S48" s="21" t="str">
        <f aca="false">IF(OR($E48="",$K48="",$I48=""),"",ROUND($E48*$K48*(1-$I48),3))</f>
        <v/>
      </c>
      <c r="T48" s="24" t="str">
        <f aca="false">IF(OR($E48="",$K48="",$H48="",$D48=""),"",IF($D48&lt;=0,"",$E48*$K48*(1-$H48)/($D48/Reference!$C$7)))</f>
        <v/>
      </c>
      <c r="U48" s="25" t="str">
        <f aca="false">IF($M48="","",COUNTIFS($N$5:$N$56,$N48,$R$5:$R$56,"&gt;"&amp;$R48)+COUNTIFS($N$4:$N47,$N48,$R$4:$R47,$R48)+1)</f>
        <v/>
      </c>
      <c r="V48" s="21" t="str">
        <f aca="false">IF(OR($H48="",$I48=""),"",IF($I48&gt;=1,"",IF($H48&gt;=1,"",(1-(1-$I48)/(1-$H48))/(1-$I48))))</f>
        <v/>
      </c>
      <c r="W48" s="21" t="str">
        <f aca="false">IF(OR($D48="",$D48&lt;=0),"",MAX(0,MIN(1,(LOG10(MAX(Reference!$C$5,MIN(Reference!$C$6,$D48)))-LOG10(Reference!$C$5))/(LOG10(Reference!$C$6)-LOG10(Reference!$C$5)))))</f>
        <v/>
      </c>
      <c r="X48" s="26" t="str">
        <f aca="false">IF($M48="","",INDEX(Reference!$D$11:$D$15,MATCH($M48,Reference!$C$11:$C$15,1)))</f>
        <v/>
      </c>
      <c r="Y48" s="26" t="str">
        <f aca="false">IF($O48="","",INDEX(Reference!$D$11:$D$15,MATCH($O48,Reference!$C$11:$C$15,1)))</f>
        <v/>
      </c>
    </row>
    <row r="49" customFormat="false" ht="15" hidden="false" customHeight="true" outlineLevel="0" collapsed="false">
      <c r="A49" s="27"/>
      <c r="B49" s="15"/>
      <c r="C49" s="15"/>
      <c r="D49" s="16"/>
      <c r="E49" s="17"/>
      <c r="F49" s="17"/>
      <c r="G49" s="17"/>
      <c r="H49" s="18"/>
      <c r="I49" s="18"/>
      <c r="J49" s="19"/>
      <c r="K49" s="20" t="str">
        <f aca="false">IF($J49="","",INDEX(Reference!$C$20:$C$24,$J49))</f>
        <v/>
      </c>
      <c r="L49" s="21" t="str">
        <f aca="false">IF(OR($E49="",$F49="",$G49=""),"",ROUND($E49*$F49*$G49,12))</f>
        <v/>
      </c>
      <c r="M49" s="21" t="str">
        <f aca="false">IF(OR($L49="",$H49=""),"",ROUND($L49*(1-$H49),12))</f>
        <v/>
      </c>
      <c r="N49" s="22" t="str">
        <f aca="false">IF($M49="","",INDEX(Reference!$B$11:$B$15,MATCH($M49,Reference!$C$11:$C$15,1)))</f>
        <v/>
      </c>
      <c r="O49" s="21" t="str">
        <f aca="false">IF(OR($L49="",$I49=""),"",ROUND($L49*(1-$I49),12))</f>
        <v/>
      </c>
      <c r="P49" s="22" t="str">
        <f aca="false">IF($O49="","",INDEX(Reference!$B$11:$B$15,MATCH($O49,Reference!$C$11:$C$15,1)))</f>
        <v/>
      </c>
      <c r="Q49" s="23" t="str">
        <f aca="false">IF(OR($M49="",$O49=""),"",IF($M49=0,0,($M49-$O49)/$M49))</f>
        <v/>
      </c>
      <c r="R49" s="21" t="str">
        <f aca="false">IF(OR($E49="",$K49="",$H49=""),"",ROUND($E49*$K49*(1-$H49),3))</f>
        <v/>
      </c>
      <c r="S49" s="21" t="str">
        <f aca="false">IF(OR($E49="",$K49="",$I49=""),"",ROUND($E49*$K49*(1-$I49),3))</f>
        <v/>
      </c>
      <c r="T49" s="24" t="str">
        <f aca="false">IF(OR($E49="",$K49="",$H49="",$D49=""),"",IF($D49&lt;=0,"",$E49*$K49*(1-$H49)/($D49/Reference!$C$7)))</f>
        <v/>
      </c>
      <c r="U49" s="25" t="str">
        <f aca="false">IF($M49="","",COUNTIFS($N$5:$N$56,$N49,$R$5:$R$56,"&gt;"&amp;$R49)+COUNTIFS($N$4:$N48,$N49,$R$4:$R48,$R49)+1)</f>
        <v/>
      </c>
      <c r="V49" s="21" t="str">
        <f aca="false">IF(OR($H49="",$I49=""),"",IF($I49&gt;=1,"",IF($H49&gt;=1,"",(1-(1-$I49)/(1-$H49))/(1-$I49))))</f>
        <v/>
      </c>
      <c r="W49" s="21" t="str">
        <f aca="false">IF(OR($D49="",$D49&lt;=0),"",MAX(0,MIN(1,(LOG10(MAX(Reference!$C$5,MIN(Reference!$C$6,$D49)))-LOG10(Reference!$C$5))/(LOG10(Reference!$C$6)-LOG10(Reference!$C$5)))))</f>
        <v/>
      </c>
      <c r="X49" s="26" t="str">
        <f aca="false">IF($M49="","",INDEX(Reference!$D$11:$D$15,MATCH($M49,Reference!$C$11:$C$15,1)))</f>
        <v/>
      </c>
      <c r="Y49" s="26" t="str">
        <f aca="false">IF($O49="","",INDEX(Reference!$D$11:$D$15,MATCH($O49,Reference!$C$11:$C$15,1)))</f>
        <v/>
      </c>
    </row>
    <row r="50" customFormat="false" ht="15" hidden="false" customHeight="true" outlineLevel="0" collapsed="false">
      <c r="A50" s="27"/>
      <c r="B50" s="15"/>
      <c r="C50" s="15"/>
      <c r="D50" s="16"/>
      <c r="E50" s="17"/>
      <c r="F50" s="17"/>
      <c r="G50" s="17"/>
      <c r="H50" s="18"/>
      <c r="I50" s="18"/>
      <c r="J50" s="19"/>
      <c r="K50" s="20" t="str">
        <f aca="false">IF($J50="","",INDEX(Reference!$C$20:$C$24,$J50))</f>
        <v/>
      </c>
      <c r="L50" s="21" t="str">
        <f aca="false">IF(OR($E50="",$F50="",$G50=""),"",ROUND($E50*$F50*$G50,12))</f>
        <v/>
      </c>
      <c r="M50" s="21" t="str">
        <f aca="false">IF(OR($L50="",$H50=""),"",ROUND($L50*(1-$H50),12))</f>
        <v/>
      </c>
      <c r="N50" s="22" t="str">
        <f aca="false">IF($M50="","",INDEX(Reference!$B$11:$B$15,MATCH($M50,Reference!$C$11:$C$15,1)))</f>
        <v/>
      </c>
      <c r="O50" s="21" t="str">
        <f aca="false">IF(OR($L50="",$I50=""),"",ROUND($L50*(1-$I50),12))</f>
        <v/>
      </c>
      <c r="P50" s="22" t="str">
        <f aca="false">IF($O50="","",INDEX(Reference!$B$11:$B$15,MATCH($O50,Reference!$C$11:$C$15,1)))</f>
        <v/>
      </c>
      <c r="Q50" s="23" t="str">
        <f aca="false">IF(OR($M50="",$O50=""),"",IF($M50=0,0,($M50-$O50)/$M50))</f>
        <v/>
      </c>
      <c r="R50" s="21" t="str">
        <f aca="false">IF(OR($E50="",$K50="",$H50=""),"",ROUND($E50*$K50*(1-$H50),3))</f>
        <v/>
      </c>
      <c r="S50" s="21" t="str">
        <f aca="false">IF(OR($E50="",$K50="",$I50=""),"",ROUND($E50*$K50*(1-$I50),3))</f>
        <v/>
      </c>
      <c r="T50" s="24" t="str">
        <f aca="false">IF(OR($E50="",$K50="",$H50="",$D50=""),"",IF($D50&lt;=0,"",$E50*$K50*(1-$H50)/($D50/Reference!$C$7)))</f>
        <v/>
      </c>
      <c r="U50" s="25" t="str">
        <f aca="false">IF($M50="","",COUNTIFS($N$5:$N$56,$N50,$R$5:$R$56,"&gt;"&amp;$R50)+COUNTIFS($N$4:$N49,$N50,$R$4:$R49,$R50)+1)</f>
        <v/>
      </c>
      <c r="V50" s="21" t="str">
        <f aca="false">IF(OR($H50="",$I50=""),"",IF($I50&gt;=1,"",IF($H50&gt;=1,"",(1-(1-$I50)/(1-$H50))/(1-$I50))))</f>
        <v/>
      </c>
      <c r="W50" s="21" t="str">
        <f aca="false">IF(OR($D50="",$D50&lt;=0),"",MAX(0,MIN(1,(LOG10(MAX(Reference!$C$5,MIN(Reference!$C$6,$D50)))-LOG10(Reference!$C$5))/(LOG10(Reference!$C$6)-LOG10(Reference!$C$5)))))</f>
        <v/>
      </c>
      <c r="X50" s="26" t="str">
        <f aca="false">IF($M50="","",INDEX(Reference!$D$11:$D$15,MATCH($M50,Reference!$C$11:$C$15,1)))</f>
        <v/>
      </c>
      <c r="Y50" s="26" t="str">
        <f aca="false">IF($O50="","",INDEX(Reference!$D$11:$D$15,MATCH($O50,Reference!$C$11:$C$15,1)))</f>
        <v/>
      </c>
    </row>
    <row r="51" customFormat="false" ht="15" hidden="false" customHeight="true" outlineLevel="0" collapsed="false">
      <c r="A51" s="27"/>
      <c r="B51" s="15"/>
      <c r="C51" s="15"/>
      <c r="D51" s="16"/>
      <c r="E51" s="17"/>
      <c r="F51" s="17"/>
      <c r="G51" s="17"/>
      <c r="H51" s="18"/>
      <c r="I51" s="18"/>
      <c r="J51" s="19"/>
      <c r="K51" s="20" t="str">
        <f aca="false">IF($J51="","",INDEX(Reference!$C$20:$C$24,$J51))</f>
        <v/>
      </c>
      <c r="L51" s="21" t="str">
        <f aca="false">IF(OR($E51="",$F51="",$G51=""),"",ROUND($E51*$F51*$G51,12))</f>
        <v/>
      </c>
      <c r="M51" s="21" t="str">
        <f aca="false">IF(OR($L51="",$H51=""),"",ROUND($L51*(1-$H51),12))</f>
        <v/>
      </c>
      <c r="N51" s="22" t="str">
        <f aca="false">IF($M51="","",INDEX(Reference!$B$11:$B$15,MATCH($M51,Reference!$C$11:$C$15,1)))</f>
        <v/>
      </c>
      <c r="O51" s="21" t="str">
        <f aca="false">IF(OR($L51="",$I51=""),"",ROUND($L51*(1-$I51),12))</f>
        <v/>
      </c>
      <c r="P51" s="22" t="str">
        <f aca="false">IF($O51="","",INDEX(Reference!$B$11:$B$15,MATCH($O51,Reference!$C$11:$C$15,1)))</f>
        <v/>
      </c>
      <c r="Q51" s="23" t="str">
        <f aca="false">IF(OR($M51="",$O51=""),"",IF($M51=0,0,($M51-$O51)/$M51))</f>
        <v/>
      </c>
      <c r="R51" s="21" t="str">
        <f aca="false">IF(OR($E51="",$K51="",$H51=""),"",ROUND($E51*$K51*(1-$H51),3))</f>
        <v/>
      </c>
      <c r="S51" s="21" t="str">
        <f aca="false">IF(OR($E51="",$K51="",$I51=""),"",ROUND($E51*$K51*(1-$I51),3))</f>
        <v/>
      </c>
      <c r="T51" s="24" t="str">
        <f aca="false">IF(OR($E51="",$K51="",$H51="",$D51=""),"",IF($D51&lt;=0,"",$E51*$K51*(1-$H51)/($D51/Reference!$C$7)))</f>
        <v/>
      </c>
      <c r="U51" s="25" t="str">
        <f aca="false">IF($M51="","",COUNTIFS($N$5:$N$56,$N51,$R$5:$R$56,"&gt;"&amp;$R51)+COUNTIFS($N$4:$N50,$N51,$R$4:$R50,$R51)+1)</f>
        <v/>
      </c>
      <c r="V51" s="21" t="str">
        <f aca="false">IF(OR($H51="",$I51=""),"",IF($I51&gt;=1,"",IF($H51&gt;=1,"",(1-(1-$I51)/(1-$H51))/(1-$I51))))</f>
        <v/>
      </c>
      <c r="W51" s="21" t="str">
        <f aca="false">IF(OR($D51="",$D51&lt;=0),"",MAX(0,MIN(1,(LOG10(MAX(Reference!$C$5,MIN(Reference!$C$6,$D51)))-LOG10(Reference!$C$5))/(LOG10(Reference!$C$6)-LOG10(Reference!$C$5)))))</f>
        <v/>
      </c>
      <c r="X51" s="26" t="str">
        <f aca="false">IF($M51="","",INDEX(Reference!$D$11:$D$15,MATCH($M51,Reference!$C$11:$C$15,1)))</f>
        <v/>
      </c>
      <c r="Y51" s="26" t="str">
        <f aca="false">IF($O51="","",INDEX(Reference!$D$11:$D$15,MATCH($O51,Reference!$C$11:$C$15,1)))</f>
        <v/>
      </c>
    </row>
    <row r="52" customFormat="false" ht="15" hidden="false" customHeight="true" outlineLevel="0" collapsed="false">
      <c r="A52" s="27"/>
      <c r="B52" s="15"/>
      <c r="C52" s="15"/>
      <c r="D52" s="16"/>
      <c r="E52" s="17"/>
      <c r="F52" s="17"/>
      <c r="G52" s="17"/>
      <c r="H52" s="18"/>
      <c r="I52" s="18"/>
      <c r="J52" s="19"/>
      <c r="K52" s="20" t="str">
        <f aca="false">IF($J52="","",INDEX(Reference!$C$20:$C$24,$J52))</f>
        <v/>
      </c>
      <c r="L52" s="21" t="str">
        <f aca="false">IF(OR($E52="",$F52="",$G52=""),"",ROUND($E52*$F52*$G52,12))</f>
        <v/>
      </c>
      <c r="M52" s="21" t="str">
        <f aca="false">IF(OR($L52="",$H52=""),"",ROUND($L52*(1-$H52),12))</f>
        <v/>
      </c>
      <c r="N52" s="22" t="str">
        <f aca="false">IF($M52="","",INDEX(Reference!$B$11:$B$15,MATCH($M52,Reference!$C$11:$C$15,1)))</f>
        <v/>
      </c>
      <c r="O52" s="21" t="str">
        <f aca="false">IF(OR($L52="",$I52=""),"",ROUND($L52*(1-$I52),12))</f>
        <v/>
      </c>
      <c r="P52" s="22" t="str">
        <f aca="false">IF($O52="","",INDEX(Reference!$B$11:$B$15,MATCH($O52,Reference!$C$11:$C$15,1)))</f>
        <v/>
      </c>
      <c r="Q52" s="23" t="str">
        <f aca="false">IF(OR($M52="",$O52=""),"",IF($M52=0,0,($M52-$O52)/$M52))</f>
        <v/>
      </c>
      <c r="R52" s="21" t="str">
        <f aca="false">IF(OR($E52="",$K52="",$H52=""),"",ROUND($E52*$K52*(1-$H52),3))</f>
        <v/>
      </c>
      <c r="S52" s="21" t="str">
        <f aca="false">IF(OR($E52="",$K52="",$I52=""),"",ROUND($E52*$K52*(1-$I52),3))</f>
        <v/>
      </c>
      <c r="T52" s="24" t="str">
        <f aca="false">IF(OR($E52="",$K52="",$H52="",$D52=""),"",IF($D52&lt;=0,"",$E52*$K52*(1-$H52)/($D52/Reference!$C$7)))</f>
        <v/>
      </c>
      <c r="U52" s="25" t="str">
        <f aca="false">IF($M52="","",COUNTIFS($N$5:$N$56,$N52,$R$5:$R$56,"&gt;"&amp;$R52)+COUNTIFS($N$4:$N51,$N52,$R$4:$R51,$R52)+1)</f>
        <v/>
      </c>
      <c r="V52" s="21" t="str">
        <f aca="false">IF(OR($H52="",$I52=""),"",IF($I52&gt;=1,"",IF($H52&gt;=1,"",(1-(1-$I52)/(1-$H52))/(1-$I52))))</f>
        <v/>
      </c>
      <c r="W52" s="21" t="str">
        <f aca="false">IF(OR($D52="",$D52&lt;=0),"",MAX(0,MIN(1,(LOG10(MAX(Reference!$C$5,MIN(Reference!$C$6,$D52)))-LOG10(Reference!$C$5))/(LOG10(Reference!$C$6)-LOG10(Reference!$C$5)))))</f>
        <v/>
      </c>
      <c r="X52" s="26" t="str">
        <f aca="false">IF($M52="","",INDEX(Reference!$D$11:$D$15,MATCH($M52,Reference!$C$11:$C$15,1)))</f>
        <v/>
      </c>
      <c r="Y52" s="26" t="str">
        <f aca="false">IF($O52="","",INDEX(Reference!$D$11:$D$15,MATCH($O52,Reference!$C$11:$C$15,1)))</f>
        <v/>
      </c>
    </row>
    <row r="53" customFormat="false" ht="15" hidden="false" customHeight="true" outlineLevel="0" collapsed="false">
      <c r="A53" s="27"/>
      <c r="B53" s="15"/>
      <c r="C53" s="15"/>
      <c r="D53" s="16"/>
      <c r="E53" s="17"/>
      <c r="F53" s="17"/>
      <c r="G53" s="17"/>
      <c r="H53" s="18"/>
      <c r="I53" s="18"/>
      <c r="J53" s="19"/>
      <c r="K53" s="20" t="str">
        <f aca="false">IF($J53="","",INDEX(Reference!$C$20:$C$24,$J53))</f>
        <v/>
      </c>
      <c r="L53" s="21" t="str">
        <f aca="false">IF(OR($E53="",$F53="",$G53=""),"",ROUND($E53*$F53*$G53,12))</f>
        <v/>
      </c>
      <c r="M53" s="21" t="str">
        <f aca="false">IF(OR($L53="",$H53=""),"",ROUND($L53*(1-$H53),12))</f>
        <v/>
      </c>
      <c r="N53" s="22" t="str">
        <f aca="false">IF($M53="","",INDEX(Reference!$B$11:$B$15,MATCH($M53,Reference!$C$11:$C$15,1)))</f>
        <v/>
      </c>
      <c r="O53" s="21" t="str">
        <f aca="false">IF(OR($L53="",$I53=""),"",ROUND($L53*(1-$I53),12))</f>
        <v/>
      </c>
      <c r="P53" s="22" t="str">
        <f aca="false">IF($O53="","",INDEX(Reference!$B$11:$B$15,MATCH($O53,Reference!$C$11:$C$15,1)))</f>
        <v/>
      </c>
      <c r="Q53" s="23" t="str">
        <f aca="false">IF(OR($M53="",$O53=""),"",IF($M53=0,0,($M53-$O53)/$M53))</f>
        <v/>
      </c>
      <c r="R53" s="21" t="str">
        <f aca="false">IF(OR($E53="",$K53="",$H53=""),"",ROUND($E53*$K53*(1-$H53),3))</f>
        <v/>
      </c>
      <c r="S53" s="21" t="str">
        <f aca="false">IF(OR($E53="",$K53="",$I53=""),"",ROUND($E53*$K53*(1-$I53),3))</f>
        <v/>
      </c>
      <c r="T53" s="24" t="str">
        <f aca="false">IF(OR($E53="",$K53="",$H53="",$D53=""),"",IF($D53&lt;=0,"",$E53*$K53*(1-$H53)/($D53/Reference!$C$7)))</f>
        <v/>
      </c>
      <c r="U53" s="25" t="str">
        <f aca="false">IF($M53="","",COUNTIFS($N$5:$N$56,$N53,$R$5:$R$56,"&gt;"&amp;$R53)+COUNTIFS($N$4:$N52,$N53,$R$4:$R52,$R53)+1)</f>
        <v/>
      </c>
      <c r="V53" s="21" t="str">
        <f aca="false">IF(OR($H53="",$I53=""),"",IF($I53&gt;=1,"",IF($H53&gt;=1,"",(1-(1-$I53)/(1-$H53))/(1-$I53))))</f>
        <v/>
      </c>
      <c r="W53" s="21" t="str">
        <f aca="false">IF(OR($D53="",$D53&lt;=0),"",MAX(0,MIN(1,(LOG10(MAX(Reference!$C$5,MIN(Reference!$C$6,$D53)))-LOG10(Reference!$C$5))/(LOG10(Reference!$C$6)-LOG10(Reference!$C$5)))))</f>
        <v/>
      </c>
      <c r="X53" s="26" t="str">
        <f aca="false">IF($M53="","",INDEX(Reference!$D$11:$D$15,MATCH($M53,Reference!$C$11:$C$15,1)))</f>
        <v/>
      </c>
      <c r="Y53" s="26" t="str">
        <f aca="false">IF($O53="","",INDEX(Reference!$D$11:$D$15,MATCH($O53,Reference!$C$11:$C$15,1)))</f>
        <v/>
      </c>
    </row>
    <row r="54" customFormat="false" ht="15" hidden="false" customHeight="true" outlineLevel="0" collapsed="false">
      <c r="A54" s="27"/>
      <c r="B54" s="15"/>
      <c r="C54" s="15"/>
      <c r="D54" s="16"/>
      <c r="E54" s="17"/>
      <c r="F54" s="17"/>
      <c r="G54" s="17"/>
      <c r="H54" s="18"/>
      <c r="I54" s="18"/>
      <c r="J54" s="19"/>
      <c r="K54" s="20" t="str">
        <f aca="false">IF($J54="","",INDEX(Reference!$C$20:$C$24,$J54))</f>
        <v/>
      </c>
      <c r="L54" s="21" t="str">
        <f aca="false">IF(OR($E54="",$F54="",$G54=""),"",ROUND($E54*$F54*$G54,12))</f>
        <v/>
      </c>
      <c r="M54" s="21" t="str">
        <f aca="false">IF(OR($L54="",$H54=""),"",ROUND($L54*(1-$H54),12))</f>
        <v/>
      </c>
      <c r="N54" s="22" t="str">
        <f aca="false">IF($M54="","",INDEX(Reference!$B$11:$B$15,MATCH($M54,Reference!$C$11:$C$15,1)))</f>
        <v/>
      </c>
      <c r="O54" s="21" t="str">
        <f aca="false">IF(OR($L54="",$I54=""),"",ROUND($L54*(1-$I54),12))</f>
        <v/>
      </c>
      <c r="P54" s="22" t="str">
        <f aca="false">IF($O54="","",INDEX(Reference!$B$11:$B$15,MATCH($O54,Reference!$C$11:$C$15,1)))</f>
        <v/>
      </c>
      <c r="Q54" s="23" t="str">
        <f aca="false">IF(OR($M54="",$O54=""),"",IF($M54=0,0,($M54-$O54)/$M54))</f>
        <v/>
      </c>
      <c r="R54" s="21" t="str">
        <f aca="false">IF(OR($E54="",$K54="",$H54=""),"",ROUND($E54*$K54*(1-$H54),3))</f>
        <v/>
      </c>
      <c r="S54" s="21" t="str">
        <f aca="false">IF(OR($E54="",$K54="",$I54=""),"",ROUND($E54*$K54*(1-$I54),3))</f>
        <v/>
      </c>
      <c r="T54" s="24" t="str">
        <f aca="false">IF(OR($E54="",$K54="",$H54="",$D54=""),"",IF($D54&lt;=0,"",$E54*$K54*(1-$H54)/($D54/Reference!$C$7)))</f>
        <v/>
      </c>
      <c r="U54" s="25" t="str">
        <f aca="false">IF($M54="","",COUNTIFS($N$5:$N$56,$N54,$R$5:$R$56,"&gt;"&amp;$R54)+COUNTIFS($N$4:$N53,$N54,$R$4:$R53,$R54)+1)</f>
        <v/>
      </c>
      <c r="V54" s="21" t="str">
        <f aca="false">IF(OR($H54="",$I54=""),"",IF($I54&gt;=1,"",IF($H54&gt;=1,"",(1-(1-$I54)/(1-$H54))/(1-$I54))))</f>
        <v/>
      </c>
      <c r="W54" s="21" t="str">
        <f aca="false">IF(OR($D54="",$D54&lt;=0),"",MAX(0,MIN(1,(LOG10(MAX(Reference!$C$5,MIN(Reference!$C$6,$D54)))-LOG10(Reference!$C$5))/(LOG10(Reference!$C$6)-LOG10(Reference!$C$5)))))</f>
        <v/>
      </c>
      <c r="X54" s="26" t="str">
        <f aca="false">IF($M54="","",INDEX(Reference!$D$11:$D$15,MATCH($M54,Reference!$C$11:$C$15,1)))</f>
        <v/>
      </c>
      <c r="Y54" s="26" t="str">
        <f aca="false">IF($O54="","",INDEX(Reference!$D$11:$D$15,MATCH($O54,Reference!$C$11:$C$15,1)))</f>
        <v/>
      </c>
    </row>
    <row r="55" customFormat="false" ht="15" hidden="false" customHeight="true" outlineLevel="0" collapsed="false">
      <c r="A55" s="27"/>
      <c r="B55" s="15"/>
      <c r="C55" s="15"/>
      <c r="D55" s="16"/>
      <c r="E55" s="17"/>
      <c r="F55" s="17"/>
      <c r="G55" s="17"/>
      <c r="H55" s="18"/>
      <c r="I55" s="18"/>
      <c r="J55" s="19"/>
      <c r="K55" s="20" t="str">
        <f aca="false">IF($J55="","",INDEX(Reference!$C$20:$C$24,$J55))</f>
        <v/>
      </c>
      <c r="L55" s="21" t="str">
        <f aca="false">IF(OR($E55="",$F55="",$G55=""),"",ROUND($E55*$F55*$G55,12))</f>
        <v/>
      </c>
      <c r="M55" s="21" t="str">
        <f aca="false">IF(OR($L55="",$H55=""),"",ROUND($L55*(1-$H55),12))</f>
        <v/>
      </c>
      <c r="N55" s="22" t="str">
        <f aca="false">IF($M55="","",INDEX(Reference!$B$11:$B$15,MATCH($M55,Reference!$C$11:$C$15,1)))</f>
        <v/>
      </c>
      <c r="O55" s="21" t="str">
        <f aca="false">IF(OR($L55="",$I55=""),"",ROUND($L55*(1-$I55),12))</f>
        <v/>
      </c>
      <c r="P55" s="22" t="str">
        <f aca="false">IF($O55="","",INDEX(Reference!$B$11:$B$15,MATCH($O55,Reference!$C$11:$C$15,1)))</f>
        <v/>
      </c>
      <c r="Q55" s="23" t="str">
        <f aca="false">IF(OR($M55="",$O55=""),"",IF($M55=0,0,($M55-$O55)/$M55))</f>
        <v/>
      </c>
      <c r="R55" s="21" t="str">
        <f aca="false">IF(OR($E55="",$K55="",$H55=""),"",ROUND($E55*$K55*(1-$H55),3))</f>
        <v/>
      </c>
      <c r="S55" s="21" t="str">
        <f aca="false">IF(OR($E55="",$K55="",$I55=""),"",ROUND($E55*$K55*(1-$I55),3))</f>
        <v/>
      </c>
      <c r="T55" s="24" t="str">
        <f aca="false">IF(OR($E55="",$K55="",$H55="",$D55=""),"",IF($D55&lt;=0,"",$E55*$K55*(1-$H55)/($D55/Reference!$C$7)))</f>
        <v/>
      </c>
      <c r="U55" s="25" t="str">
        <f aca="false">IF($M55="","",COUNTIFS($N$5:$N$56,$N55,$R$5:$R$56,"&gt;"&amp;$R55)+COUNTIFS($N$4:$N54,$N55,$R$4:$R54,$R55)+1)</f>
        <v/>
      </c>
      <c r="V55" s="21" t="str">
        <f aca="false">IF(OR($H55="",$I55=""),"",IF($I55&gt;=1,"",IF($H55&gt;=1,"",(1-(1-$I55)/(1-$H55))/(1-$I55))))</f>
        <v/>
      </c>
      <c r="W55" s="21" t="str">
        <f aca="false">IF(OR($D55="",$D55&lt;=0),"",MAX(0,MIN(1,(LOG10(MAX(Reference!$C$5,MIN(Reference!$C$6,$D55)))-LOG10(Reference!$C$5))/(LOG10(Reference!$C$6)-LOG10(Reference!$C$5)))))</f>
        <v/>
      </c>
      <c r="X55" s="26" t="str">
        <f aca="false">IF($M55="","",INDEX(Reference!$D$11:$D$15,MATCH($M55,Reference!$C$11:$C$15,1)))</f>
        <v/>
      </c>
      <c r="Y55" s="26" t="str">
        <f aca="false">IF($O55="","",INDEX(Reference!$D$11:$D$15,MATCH($O55,Reference!$C$11:$C$15,1)))</f>
        <v/>
      </c>
    </row>
    <row r="56" customFormat="false" ht="15" hidden="false" customHeight="true" outlineLevel="0" collapsed="false">
      <c r="A56" s="27"/>
      <c r="B56" s="15"/>
      <c r="C56" s="15"/>
      <c r="D56" s="16"/>
      <c r="E56" s="17"/>
      <c r="F56" s="17"/>
      <c r="G56" s="17"/>
      <c r="H56" s="18"/>
      <c r="I56" s="18"/>
      <c r="J56" s="19"/>
      <c r="K56" s="20" t="str">
        <f aca="false">IF($J56="","",INDEX(Reference!$C$20:$C$24,$J56))</f>
        <v/>
      </c>
      <c r="L56" s="21" t="str">
        <f aca="false">IF(OR($E56="",$F56="",$G56=""),"",ROUND($E56*$F56*$G56,12))</f>
        <v/>
      </c>
      <c r="M56" s="21" t="str">
        <f aca="false">IF(OR($L56="",$H56=""),"",ROUND($L56*(1-$H56),12))</f>
        <v/>
      </c>
      <c r="N56" s="22" t="str">
        <f aca="false">IF($M56="","",INDEX(Reference!$B$11:$B$15,MATCH($M56,Reference!$C$11:$C$15,1)))</f>
        <v/>
      </c>
      <c r="O56" s="21" t="str">
        <f aca="false">IF(OR($L56="",$I56=""),"",ROUND($L56*(1-$I56),12))</f>
        <v/>
      </c>
      <c r="P56" s="22" t="str">
        <f aca="false">IF($O56="","",INDEX(Reference!$B$11:$B$15,MATCH($O56,Reference!$C$11:$C$15,1)))</f>
        <v/>
      </c>
      <c r="Q56" s="23" t="str">
        <f aca="false">IF(OR($M56="",$O56=""),"",IF($M56=0,0,($M56-$O56)/$M56))</f>
        <v/>
      </c>
      <c r="R56" s="21" t="str">
        <f aca="false">IF(OR($E56="",$K56="",$H56=""),"",ROUND($E56*$K56*(1-$H56),3))</f>
        <v/>
      </c>
      <c r="S56" s="21" t="str">
        <f aca="false">IF(OR($E56="",$K56="",$I56=""),"",ROUND($E56*$K56*(1-$I56),3))</f>
        <v/>
      </c>
      <c r="T56" s="24" t="str">
        <f aca="false">IF(OR($E56="",$K56="",$H56="",$D56=""),"",IF($D56&lt;=0,"",$E56*$K56*(1-$H56)/($D56/Reference!$C$7)))</f>
        <v/>
      </c>
      <c r="U56" s="25" t="str">
        <f aca="false">IF($M56="","",COUNTIFS($N$5:$N$56,$N56,$R$5:$R$56,"&gt;"&amp;$R56)+COUNTIFS($N$4:$N55,$N56,$R$4:$R55,$R56)+1)</f>
        <v/>
      </c>
      <c r="V56" s="21" t="str">
        <f aca="false">IF(OR($H56="",$I56=""),"",IF($I56&gt;=1,"",IF($H56&gt;=1,"",(1-(1-$I56)/(1-$H56))/(1-$I56))))</f>
        <v/>
      </c>
      <c r="W56" s="21" t="str">
        <f aca="false">IF(OR($D56="",$D56&lt;=0),"",MAX(0,MIN(1,(LOG10(MAX(Reference!$C$5,MIN(Reference!$C$6,$D56)))-LOG10(Reference!$C$5))/(LOG10(Reference!$C$6)-LOG10(Reference!$C$5)))))</f>
        <v/>
      </c>
      <c r="X56" s="26" t="str">
        <f aca="false">IF($M56="","",INDEX(Reference!$D$11:$D$15,MATCH($M56,Reference!$C$11:$C$15,1)))</f>
        <v/>
      </c>
      <c r="Y56" s="26" t="str">
        <f aca="false">IF($O56="","",INDEX(Reference!$D$11:$D$15,MATCH($O56,Reference!$C$11:$C$15,1)))</f>
        <v/>
      </c>
    </row>
    <row r="58" customFormat="false" ht="15" hidden="false" customHeight="true" outlineLevel="0" collapsed="false">
      <c r="A58" s="12" t="s">
        <v>131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customFormat="false" ht="1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customFormat="false" ht="1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customFormat="false" ht="1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customFormat="false" ht="1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customFormat="false" ht="1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customFormat="false" ht="1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6" customFormat="false" ht="15" hidden="false" customHeight="true" outlineLevel="0" collapsed="false">
      <c r="A66" s="28" t="s">
        <v>132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</sheetData>
  <mergeCells count="4">
    <mergeCell ref="A1:Y1"/>
    <mergeCell ref="A2:Y2"/>
    <mergeCell ref="A58:L64"/>
    <mergeCell ref="A66:L66"/>
  </mergeCells>
  <conditionalFormatting sqref="N5:N56">
    <cfRule type="expression" priority="2" aboveAverage="0" equalAverage="0" bottom="0" percent="0" rank="0" text="" dxfId="0">
      <formula>LEFT(N5,1)="1"</formula>
    </cfRule>
    <cfRule type="expression" priority="3" aboveAverage="0" equalAverage="0" bottom="0" percent="0" rank="0" text="" dxfId="1">
      <formula>LEFT(N5,1)="2"</formula>
    </cfRule>
    <cfRule type="expression" priority="4" aboveAverage="0" equalAverage="0" bottom="0" percent="0" rank="0" text="" dxfId="2">
      <formula>LEFT(N5,1)="3"</formula>
    </cfRule>
    <cfRule type="expression" priority="5" aboveAverage="0" equalAverage="0" bottom="0" percent="0" rank="0" text="" dxfId="3">
      <formula>LEFT(N5,1)="4"</formula>
    </cfRule>
    <cfRule type="expression" priority="6" aboveAverage="0" equalAverage="0" bottom="0" percent="0" rank="0" text="" dxfId="4">
      <formula>LEFT(N5,1)="5"</formula>
    </cfRule>
  </conditionalFormatting>
  <conditionalFormatting sqref="P5:P56">
    <cfRule type="expression" priority="7" aboveAverage="0" equalAverage="0" bottom="0" percent="0" rank="0" text="" dxfId="0">
      <formula>LEFT(P5,1)="1"</formula>
    </cfRule>
    <cfRule type="expression" priority="8" aboveAverage="0" equalAverage="0" bottom="0" percent="0" rank="0" text="" dxfId="1">
      <formula>LEFT(P5,1)="2"</formula>
    </cfRule>
    <cfRule type="expression" priority="9" aboveAverage="0" equalAverage="0" bottom="0" percent="0" rank="0" text="" dxfId="2">
      <formula>LEFT(P5,1)="3"</formula>
    </cfRule>
    <cfRule type="expression" priority="10" aboveAverage="0" equalAverage="0" bottom="0" percent="0" rank="0" text="" dxfId="3">
      <formula>LEFT(P5,1)="4"</formula>
    </cfRule>
    <cfRule type="expression" priority="11" aboveAverage="0" equalAverage="0" bottom="0" percent="0" rank="0" text="" dxfId="4">
      <formula>LEFT(P5,1)="5"</formula>
    </cfRule>
  </conditionalFormatting>
  <dataValidations count="4">
    <dataValidation allowBlank="true" error="Consequence index: 1 Insignificant … 5 Severe." errorStyle="stop" errorTitle="C must be 1–5" operator="between" showDropDown="false" showErrorMessage="true" showInputMessage="false" sqref="J5:J56" type="whole">
      <formula1>1</formula1>
      <formula2>5</formula2>
    </dataValidation>
    <dataValidation allowBlank="true" error="At-risk population size must be &gt; 0." errorStyle="stop" errorTitle="N must be positive" operator="greaterThan" showDropDown="false" showErrorMessage="true" showInputMessage="false" sqref="D5:D56" type="decimal">
      <formula1>0</formula1>
      <formula2>0</formula2>
    </dataValidation>
    <dataValidation allowBlank="true" error="Enter a value between 0 and 1 (e.g. 0.30 or 30%)." errorStyle="stop" errorTitle="Out of range" operator="between" showDropDown="false" showErrorMessage="true" showInputMessage="false" sqref="E5:G56" type="decimal">
      <formula1>0</formula1>
      <formula2>1</formula2>
    </dataValidation>
    <dataValidation allowBlank="true" error="ρ must be at least 0 and below 1 (max 0.99). ρ = 1 would make R = 0 and break the improvement-efficiency index; this matches RMTI-Py core v1.2.0." errorStyle="stop" errorTitle="ρ out of range" operator="between" showDropDown="false" showErrorMessage="true" showInputMessage="false" sqref="H5:I56" type="decimal">
      <formula1>0</formula1>
      <formula2>0.99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3"/>
    <col collapsed="false" customWidth="true" hidden="false" outlineLevel="0" max="6" min="6" style="1" width="11"/>
    <col collapsed="false" customWidth="true" hidden="false" outlineLevel="0" max="8" min="7" style="1" width="10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6"/>
  </cols>
  <sheetData>
    <row r="1" customFormat="false" ht="21.75" hidden="false" customHeight="true" outlineLevel="0" collapsed="false">
      <c r="A1" s="2" t="s">
        <v>133</v>
      </c>
    </row>
    <row r="2" customFormat="false" ht="30" hidden="false" customHeight="true" outlineLevel="0" collapsed="false">
      <c r="A2" s="12" t="s">
        <v>134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customFormat="false" ht="15" hidden="false" customHeight="true" outlineLevel="0" collapsed="false">
      <c r="A4" s="4" t="s">
        <v>135</v>
      </c>
    </row>
    <row r="5" customFormat="false" ht="15" hidden="false" customHeight="true" outlineLevel="0" collapsed="false">
      <c r="A5" s="29" t="s">
        <v>136</v>
      </c>
      <c r="B5" s="30" t="n">
        <v>0.35</v>
      </c>
      <c r="C5" s="31" t="s">
        <v>137</v>
      </c>
      <c r="D5" s="31"/>
      <c r="E5" s="31"/>
      <c r="F5" s="31"/>
      <c r="G5" s="31"/>
      <c r="H5" s="31"/>
      <c r="I5" s="31"/>
      <c r="J5" s="31"/>
      <c r="K5" s="31"/>
    </row>
    <row r="6" customFormat="false" ht="15" hidden="false" customHeight="true" outlineLevel="0" collapsed="false">
      <c r="A6" s="29" t="s">
        <v>138</v>
      </c>
      <c r="B6" s="30" t="n">
        <v>0.85</v>
      </c>
      <c r="C6" s="31" t="s">
        <v>139</v>
      </c>
      <c r="D6" s="31"/>
      <c r="E6" s="31"/>
      <c r="F6" s="31"/>
      <c r="G6" s="31"/>
      <c r="H6" s="31"/>
      <c r="I6" s="31"/>
      <c r="J6" s="31"/>
      <c r="K6" s="31"/>
    </row>
    <row r="7" customFormat="false" ht="15" hidden="false" customHeight="true" outlineLevel="0" collapsed="false">
      <c r="A7" s="29" t="s">
        <v>140</v>
      </c>
      <c r="B7" s="32" t="n">
        <v>6</v>
      </c>
      <c r="C7" s="31" t="s">
        <v>141</v>
      </c>
      <c r="D7" s="31"/>
      <c r="E7" s="31"/>
      <c r="F7" s="31"/>
      <c r="G7" s="31"/>
      <c r="H7" s="31"/>
      <c r="I7" s="31"/>
      <c r="J7" s="31"/>
      <c r="K7" s="31"/>
    </row>
    <row r="8" customFormat="false" ht="15" hidden="false" customHeight="true" outlineLevel="0" collapsed="false">
      <c r="A8" s="29" t="s">
        <v>142</v>
      </c>
      <c r="B8" s="30" t="n">
        <v>0.41</v>
      </c>
      <c r="C8" s="31" t="s">
        <v>143</v>
      </c>
      <c r="D8" s="31"/>
      <c r="E8" s="31"/>
      <c r="F8" s="31"/>
      <c r="G8" s="31"/>
      <c r="H8" s="31"/>
      <c r="I8" s="31"/>
      <c r="J8" s="31"/>
      <c r="K8" s="31"/>
    </row>
    <row r="9" customFormat="false" ht="15" hidden="false" customHeight="true" outlineLevel="0" collapsed="false">
      <c r="A9" s="29" t="s">
        <v>144</v>
      </c>
      <c r="B9" s="30" t="n">
        <v>0.09</v>
      </c>
      <c r="C9" s="31" t="s">
        <v>145</v>
      </c>
      <c r="D9" s="31"/>
      <c r="E9" s="31"/>
      <c r="F9" s="31"/>
      <c r="G9" s="31"/>
      <c r="H9" s="31"/>
      <c r="I9" s="31"/>
      <c r="J9" s="31"/>
      <c r="K9" s="31"/>
    </row>
    <row r="10" customFormat="false" ht="15" hidden="false" customHeight="true" outlineLevel="0" collapsed="false">
      <c r="A10" s="29" t="s">
        <v>146</v>
      </c>
      <c r="B10" s="33" t="n">
        <v>1</v>
      </c>
      <c r="C10" s="31" t="s">
        <v>147</v>
      </c>
      <c r="D10" s="31"/>
      <c r="E10" s="31"/>
      <c r="F10" s="31"/>
      <c r="G10" s="31"/>
      <c r="H10" s="31"/>
      <c r="I10" s="31"/>
      <c r="J10" s="31"/>
      <c r="K10" s="31"/>
    </row>
    <row r="11" customFormat="false" ht="27.75" hidden="false" customHeight="true" outlineLevel="0" collapsed="false">
      <c r="A11" s="29" t="s">
        <v>148</v>
      </c>
      <c r="B11" s="30" t="n">
        <v>1</v>
      </c>
      <c r="C11" s="31" t="s">
        <v>149</v>
      </c>
      <c r="D11" s="31"/>
      <c r="E11" s="31"/>
      <c r="F11" s="31"/>
      <c r="G11" s="31"/>
      <c r="H11" s="31"/>
      <c r="I11" s="31"/>
      <c r="J11" s="31"/>
      <c r="K11" s="31"/>
    </row>
    <row r="12" customFormat="false" ht="15" hidden="false" customHeight="true" outlineLevel="0" collapsed="false">
      <c r="A12" s="29" t="s">
        <v>150</v>
      </c>
      <c r="B12" s="30" t="n">
        <v>0.95</v>
      </c>
      <c r="C12" s="31" t="s">
        <v>151</v>
      </c>
      <c r="D12" s="31"/>
      <c r="E12" s="31"/>
      <c r="F12" s="31"/>
      <c r="G12" s="31"/>
      <c r="H12" s="31"/>
      <c r="I12" s="31"/>
      <c r="J12" s="31"/>
      <c r="K12" s="31"/>
    </row>
    <row r="13" customFormat="false" ht="15" hidden="false" customHeight="true" outlineLevel="0" collapsed="false">
      <c r="A13" s="29" t="s">
        <v>152</v>
      </c>
      <c r="B13" s="32" t="n">
        <v>1</v>
      </c>
      <c r="C13" s="31" t="s">
        <v>153</v>
      </c>
      <c r="D13" s="31"/>
      <c r="E13" s="31"/>
      <c r="F13" s="31"/>
      <c r="G13" s="31"/>
      <c r="H13" s="31"/>
      <c r="I13" s="31"/>
      <c r="J13" s="31"/>
      <c r="K13" s="31"/>
    </row>
    <row r="15" customFormat="false" ht="15" hidden="false" customHeight="true" outlineLevel="0" collapsed="false">
      <c r="A15" s="4" t="s">
        <v>154</v>
      </c>
    </row>
    <row r="16" customFormat="false" ht="15" hidden="false" customHeight="true" outlineLevel="0" collapsed="false">
      <c r="A16" s="34" t="s">
        <v>155</v>
      </c>
      <c r="B16" s="30" t="n">
        <v>0.3</v>
      </c>
    </row>
    <row r="17" customFormat="false" ht="15" hidden="false" customHeight="true" outlineLevel="0" collapsed="false">
      <c r="A17" s="34" t="s">
        <v>156</v>
      </c>
      <c r="B17" s="30" t="n">
        <v>0.65</v>
      </c>
    </row>
    <row r="18" customFormat="false" ht="15" hidden="false" customHeight="true" outlineLevel="0" collapsed="false">
      <c r="A18" s="34" t="s">
        <v>157</v>
      </c>
      <c r="B18" s="32" t="n">
        <v>3</v>
      </c>
    </row>
    <row r="19" customFormat="false" ht="15" hidden="false" customHeight="true" outlineLevel="0" collapsed="false">
      <c r="A19" s="34" t="s">
        <v>158</v>
      </c>
      <c r="B19" s="30" t="n">
        <v>0.2</v>
      </c>
    </row>
    <row r="21" customFormat="false" ht="42" hidden="false" customHeight="true" outlineLevel="0" collapsed="false">
      <c r="A21" s="13" t="s">
        <v>159</v>
      </c>
      <c r="B21" s="13" t="s">
        <v>160</v>
      </c>
      <c r="C21" s="13" t="s">
        <v>161</v>
      </c>
      <c r="D21" s="13" t="s">
        <v>162</v>
      </c>
      <c r="E21" s="13" t="s">
        <v>163</v>
      </c>
      <c r="F21" s="13" t="s">
        <v>164</v>
      </c>
      <c r="G21" s="13" t="s">
        <v>165</v>
      </c>
      <c r="H21" s="13" t="s">
        <v>166</v>
      </c>
      <c r="I21" s="13" t="s">
        <v>167</v>
      </c>
      <c r="J21" s="13" t="s">
        <v>168</v>
      </c>
      <c r="K21" s="13" t="s">
        <v>169</v>
      </c>
    </row>
    <row r="22" customFormat="false" ht="24.75" hidden="false" customHeight="true" outlineLevel="0" collapsed="false">
      <c r="A22" s="35" t="n">
        <v>0</v>
      </c>
      <c r="B22" s="33" t="n">
        <v>2</v>
      </c>
      <c r="C22" s="30" t="n">
        <v>0.4</v>
      </c>
      <c r="D22" s="36" t="n">
        <f aca="false">IF(AND($B22="",$C22=""),"",$B22)</f>
        <v>2</v>
      </c>
      <c r="E22" s="37" t="n">
        <f aca="false">IF(AND($B22="",$C22=""),"",0)</f>
        <v>0</v>
      </c>
      <c r="F22" s="37" t="n">
        <f aca="false">IF(AND($B22="",$C22=""),"",$B$5+($B$6-$B$5)*MAX(0,MIN($B$7,IF($B$13=1,$D22+$B$10*$E22,IF($B22="",$D22,$B22))))/$B$7)</f>
        <v>0.516666666666667</v>
      </c>
      <c r="G22" s="36" t="n">
        <f aca="false">IF(AND($B22="",$C22=""),"",$B$19)</f>
        <v>0.2</v>
      </c>
      <c r="H22" s="37" t="n">
        <f aca="false">IF(AND($B22="",$C22=""),"",ROUND($B$16*$B$17*$F22*(1-$G22),12))</f>
        <v>0.0806</v>
      </c>
      <c r="I22" s="38" t="str">
        <f aca="false">IF(AND($B22="",$C22=""),"",INDEX(Reference!$B$11:$B$15,MATCH($H22,Reference!$C$11:$C$15,1)))</f>
        <v>2 · Moderate</v>
      </c>
      <c r="J22" s="39" t="str">
        <f aca="false">""</f>
        <v/>
      </c>
      <c r="K22" s="40" t="str">
        <f aca="false">IF(AND($B22="",$C22=""),"",INDEX(Reference!$D$11:$D$15,MATCH($H22,Reference!$C$11:$C$15,1)))</f>
        <v>Usual-care biannual surveillance appropriate; confirm adherence and recall</v>
      </c>
    </row>
    <row r="23" customFormat="false" ht="24.75" hidden="false" customHeight="true" outlineLevel="0" collapsed="false">
      <c r="A23" s="35" t="n">
        <v>1</v>
      </c>
      <c r="B23" s="33" t="n">
        <v>1</v>
      </c>
      <c r="C23" s="30" t="n">
        <v>0.55</v>
      </c>
      <c r="D23" s="36" t="n">
        <f aca="false">IF(AND($B23="",$C23=""),"",IF($B23="",($D22+$E22),($D22+$E22)+$B$8*($B23-($D22+$E22))))</f>
        <v>1.59</v>
      </c>
      <c r="E23" s="37" t="n">
        <f aca="false">IF(AND($B23="",$C23=""),"",IF($B23="",$E22,$E22+$B$9*($B23-($D22+$E22))))</f>
        <v>-0.09</v>
      </c>
      <c r="F23" s="37" t="n">
        <f aca="false">IF(AND($B23="",$C23=""),"",$B$5+($B$6-$B$5)*MAX(0,MIN($B$7,IF($B$13=1,$D23+$B$10*$E23,IF($B23="",$D23,$B23))))/$B$7)</f>
        <v>0.475</v>
      </c>
      <c r="G23" s="36" t="n">
        <f aca="false">IF(AND($B23="",$C23=""),"",IF($C23="",$G22,MIN($B$12,MAX(0,$G22+$B$11*($C23-$C22)))))</f>
        <v>0.35</v>
      </c>
      <c r="H23" s="37" t="n">
        <f aca="false">IF(AND($B23="",$C23=""),"",ROUND($B$16*$B$17*$F23*(1-$G23),12))</f>
        <v>0.06020625</v>
      </c>
      <c r="I23" s="38" t="str">
        <f aca="false">IF(AND($B23="",$C23=""),"",INDEX(Reference!$B$11:$B$15,MATCH($H23,Reference!$C$11:$C$15,1)))</f>
        <v>2 · Moderate</v>
      </c>
      <c r="J23" s="39" t="n">
        <f aca="false">IF(AND($B23="",$C23=""),"",$H23-$H22)</f>
        <v>-0.02039375</v>
      </c>
      <c r="K23" s="40" t="str">
        <f aca="false">IF(AND($B23="",$C23=""),"",INDEX(Reference!$D$11:$D$15,MATCH($H23,Reference!$C$11:$C$15,1)))</f>
        <v>Usual-care biannual surveillance appropriate; confirm adherence and recall</v>
      </c>
    </row>
    <row r="24" customFormat="false" ht="24.75" hidden="false" customHeight="true" outlineLevel="0" collapsed="false">
      <c r="A24" s="35" t="n">
        <v>2</v>
      </c>
      <c r="B24" s="33" t="n">
        <v>1</v>
      </c>
      <c r="C24" s="30" t="n">
        <v>0.7</v>
      </c>
      <c r="D24" s="36" t="n">
        <f aca="false">IF(AND($B24="",$C24=""),"",IF($B24="",($D23+$E23),($D23+$E23)+$B$8*($B24-($D23+$E23))))</f>
        <v>1.295</v>
      </c>
      <c r="E24" s="37" t="n">
        <f aca="false">IF(AND($B24="",$C24=""),"",IF($B24="",$E23,$E23+$B$9*($B24-($D23+$E23))))</f>
        <v>-0.135</v>
      </c>
      <c r="F24" s="37" t="n">
        <f aca="false">IF(AND($B24="",$C24=""),"",$B$5+($B$6-$B$5)*MAX(0,MIN($B$7,IF($B$13=1,$D24+$B$10*$E24,IF($B24="",$D24,$B24))))/$B$7)</f>
        <v>0.446666666666667</v>
      </c>
      <c r="G24" s="36" t="n">
        <f aca="false">IF(AND($B24="",$C24=""),"",IF($C24="",$G23,MIN($B$12,MAX(0,$G23+$B$11*($C24-$C23)))))</f>
        <v>0.5</v>
      </c>
      <c r="H24" s="37" t="n">
        <f aca="false">IF(AND($B24="",$C24=""),"",ROUND($B$16*$B$17*$F24*(1-$G24),12))</f>
        <v>0.04355</v>
      </c>
      <c r="I24" s="38" t="str">
        <f aca="false">IF(AND($B24="",$C24=""),"",INDEX(Reference!$B$11:$B$15,MATCH($H24,Reference!$C$11:$C$15,1)))</f>
        <v>1 · Low</v>
      </c>
      <c r="J24" s="39" t="n">
        <f aca="false">IF(AND($B24="",$C24=""),"",$H24-$H23)</f>
        <v>-0.01665625</v>
      </c>
      <c r="K24" s="40" t="str">
        <f aca="false">IF(AND($B24="",$C24=""),"",INDEX(Reference!$D$11:$D$15,MATCH($H24,Reference!$C$11:$C$15,1)))</f>
        <v>Monitor; usual-care biannual surveillance appropriate</v>
      </c>
    </row>
    <row r="25" customFormat="false" ht="24.75" hidden="false" customHeight="true" outlineLevel="0" collapsed="false">
      <c r="A25" s="35" t="n">
        <v>3</v>
      </c>
      <c r="B25" s="33" t="n">
        <v>0</v>
      </c>
      <c r="C25" s="30" t="n">
        <v>0.75</v>
      </c>
      <c r="D25" s="36" t="n">
        <f aca="false">IF(AND($B25="",$C25=""),"",IF($B25="",($D24+$E24),($D24+$E24)+$B$8*($B25-($D24+$E24))))</f>
        <v>0.6844</v>
      </c>
      <c r="E25" s="37" t="n">
        <f aca="false">IF(AND($B25="",$C25=""),"",IF($B25="",$E24,$E24+$B$9*($B25-($D24+$E24))))</f>
        <v>-0.2394</v>
      </c>
      <c r="F25" s="37" t="n">
        <f aca="false">IF(AND($B25="",$C25=""),"",$B$5+($B$6-$B$5)*MAX(0,MIN($B$7,IF($B$13=1,$D25+$B$10*$E25,IF($B25="",$D25,$B25))))/$B$7)</f>
        <v>0.387083333333333</v>
      </c>
      <c r="G25" s="36" t="n">
        <f aca="false">IF(AND($B25="",$C25=""),"",IF($C25="",$G24,MIN($B$12,MAX(0,$G24+$B$11*($C25-$C24)))))</f>
        <v>0.55</v>
      </c>
      <c r="H25" s="37" t="n">
        <f aca="false">IF(AND($B25="",$C25=""),"",ROUND($B$16*$B$17*$F25*(1-$G25),12))</f>
        <v>0.0339665625</v>
      </c>
      <c r="I25" s="38" t="str">
        <f aca="false">IF(AND($B25="",$C25=""),"",INDEX(Reference!$B$11:$B$15,MATCH($H25,Reference!$C$11:$C$15,1)))</f>
        <v>1 · Low</v>
      </c>
      <c r="J25" s="39" t="n">
        <f aca="false">IF(AND($B25="",$C25=""),"",$H25-$H24)</f>
        <v>-0.0095834375</v>
      </c>
      <c r="K25" s="40" t="str">
        <f aca="false">IF(AND($B25="",$C25=""),"",INDEX(Reference!$D$11:$D$15,MATCH($H25,Reference!$C$11:$C$15,1)))</f>
        <v>Monitor; usual-care biannual surveillance appropriate</v>
      </c>
    </row>
    <row r="26" customFormat="false" ht="15" hidden="false" customHeight="true" outlineLevel="0" collapsed="false">
      <c r="A26" s="35" t="n">
        <v>4</v>
      </c>
      <c r="B26" s="33"/>
      <c r="C26" s="30"/>
      <c r="D26" s="36" t="str">
        <f aca="false">IF(AND($B26="",$C26=""),"",IF($B26="",($D25+$E25),($D25+$E25)+$B$8*($B26-($D25+$E25))))</f>
        <v/>
      </c>
      <c r="E26" s="37" t="str">
        <f aca="false">IF(AND($B26="",$C26=""),"",IF($B26="",$E25,$E25+$B$9*($B26-($D25+$E25))))</f>
        <v/>
      </c>
      <c r="F26" s="37" t="str">
        <f aca="false">IF(AND($B26="",$C26=""),"",$B$5+($B$6-$B$5)*MAX(0,MIN($B$7,IF($B$13=1,$D26+$B$10*$E26,IF($B26="",$D26,$B26))))/$B$7)</f>
        <v/>
      </c>
      <c r="G26" s="36" t="str">
        <f aca="false">IF(AND($B26="",$C26=""),"",IF($C26="",$G25,MIN($B$12,MAX(0,$G25+$B$11*($C26-$C25)))))</f>
        <v/>
      </c>
      <c r="H26" s="37" t="str">
        <f aca="false">IF(AND($B26="",$C26=""),"",ROUND($B$16*$B$17*$F26*(1-$G26),12))</f>
        <v/>
      </c>
      <c r="I26" s="38" t="str">
        <f aca="false">IF(AND($B26="",$C26=""),"",INDEX(Reference!$B$11:$B$15,MATCH($H26,Reference!$C$11:$C$15,1)))</f>
        <v/>
      </c>
      <c r="J26" s="39" t="str">
        <f aca="false">IF(AND($B26="",$C26=""),"",$H26-$H25)</f>
        <v/>
      </c>
      <c r="K26" s="40" t="str">
        <f aca="false">IF(AND($B26="",$C26=""),"",INDEX(Reference!$D$11:$D$15,MATCH($H26,Reference!$C$11:$C$15,1)))</f>
        <v/>
      </c>
    </row>
    <row r="27" customFormat="false" ht="15" hidden="false" customHeight="true" outlineLevel="0" collapsed="false">
      <c r="A27" s="35" t="n">
        <v>5</v>
      </c>
      <c r="B27" s="33"/>
      <c r="C27" s="30"/>
      <c r="D27" s="36" t="str">
        <f aca="false">IF(AND($B27="",$C27=""),"",IF($B27="",($D26+$E26),($D26+$E26)+$B$8*($B27-($D26+$E26))))</f>
        <v/>
      </c>
      <c r="E27" s="37" t="str">
        <f aca="false">IF(AND($B27="",$C27=""),"",IF($B27="",$E26,$E26+$B$9*($B27-($D26+$E26))))</f>
        <v/>
      </c>
      <c r="F27" s="37" t="str">
        <f aca="false">IF(AND($B27="",$C27=""),"",$B$5+($B$6-$B$5)*MAX(0,MIN($B$7,IF($B$13=1,$D27+$B$10*$E27,IF($B27="",$D27,$B27))))/$B$7)</f>
        <v/>
      </c>
      <c r="G27" s="36" t="str">
        <f aca="false">IF(AND($B27="",$C27=""),"",IF($C27="",$G26,MIN($B$12,MAX(0,$G26+$B$11*($C27-$C26)))))</f>
        <v/>
      </c>
      <c r="H27" s="37" t="str">
        <f aca="false">IF(AND($B27="",$C27=""),"",ROUND($B$16*$B$17*$F27*(1-$G27),12))</f>
        <v/>
      </c>
      <c r="I27" s="38" t="str">
        <f aca="false">IF(AND($B27="",$C27=""),"",INDEX(Reference!$B$11:$B$15,MATCH($H27,Reference!$C$11:$C$15,1)))</f>
        <v/>
      </c>
      <c r="J27" s="39" t="str">
        <f aca="false">IF(AND($B27="",$C27=""),"",$H27-$H26)</f>
        <v/>
      </c>
      <c r="K27" s="40" t="str">
        <f aca="false">IF(AND($B27="",$C27=""),"",INDEX(Reference!$D$11:$D$15,MATCH($H27,Reference!$C$11:$C$15,1)))</f>
        <v/>
      </c>
    </row>
    <row r="28" customFormat="false" ht="15" hidden="false" customHeight="true" outlineLevel="0" collapsed="false">
      <c r="A28" s="35" t="n">
        <v>6</v>
      </c>
      <c r="B28" s="33"/>
      <c r="C28" s="30"/>
      <c r="D28" s="36" t="str">
        <f aca="false">IF(AND($B28="",$C28=""),"",IF($B28="",($D27+$E27),($D27+$E27)+$B$8*($B28-($D27+$E27))))</f>
        <v/>
      </c>
      <c r="E28" s="37" t="str">
        <f aca="false">IF(AND($B28="",$C28=""),"",IF($B28="",$E27,$E27+$B$9*($B28-($D27+$E27))))</f>
        <v/>
      </c>
      <c r="F28" s="37" t="str">
        <f aca="false">IF(AND($B28="",$C28=""),"",$B$5+($B$6-$B$5)*MAX(0,MIN($B$7,IF($B$13=1,$D28+$B$10*$E28,IF($B28="",$D28,$B28))))/$B$7)</f>
        <v/>
      </c>
      <c r="G28" s="36" t="str">
        <f aca="false">IF(AND($B28="",$C28=""),"",IF($C28="",$G27,MIN($B$12,MAX(0,$G27+$B$11*($C28-$C27)))))</f>
        <v/>
      </c>
      <c r="H28" s="37" t="str">
        <f aca="false">IF(AND($B28="",$C28=""),"",ROUND($B$16*$B$17*$F28*(1-$G28),12))</f>
        <v/>
      </c>
      <c r="I28" s="38" t="str">
        <f aca="false">IF(AND($B28="",$C28=""),"",INDEX(Reference!$B$11:$B$15,MATCH($H28,Reference!$C$11:$C$15,1)))</f>
        <v/>
      </c>
      <c r="J28" s="39" t="str">
        <f aca="false">IF(AND($B28="",$C28=""),"",$H28-$H27)</f>
        <v/>
      </c>
      <c r="K28" s="40" t="str">
        <f aca="false">IF(AND($B28="",$C28=""),"",INDEX(Reference!$D$11:$D$15,MATCH($H28,Reference!$C$11:$C$15,1)))</f>
        <v/>
      </c>
    </row>
    <row r="29" customFormat="false" ht="15" hidden="false" customHeight="true" outlineLevel="0" collapsed="false">
      <c r="A29" s="35" t="n">
        <v>7</v>
      </c>
      <c r="B29" s="33"/>
      <c r="C29" s="30"/>
      <c r="D29" s="36" t="str">
        <f aca="false">IF(AND($B29="",$C29=""),"",IF($B29="",($D28+$E28),($D28+$E28)+$B$8*($B29-($D28+$E28))))</f>
        <v/>
      </c>
      <c r="E29" s="37" t="str">
        <f aca="false">IF(AND($B29="",$C29=""),"",IF($B29="",$E28,$E28+$B$9*($B29-($D28+$E28))))</f>
        <v/>
      </c>
      <c r="F29" s="37" t="str">
        <f aca="false">IF(AND($B29="",$C29=""),"",$B$5+($B$6-$B$5)*MAX(0,MIN($B$7,IF($B$13=1,$D29+$B$10*$E29,IF($B29="",$D29,$B29))))/$B$7)</f>
        <v/>
      </c>
      <c r="G29" s="36" t="str">
        <f aca="false">IF(AND($B29="",$C29=""),"",IF($C29="",$G28,MIN($B$12,MAX(0,$G28+$B$11*($C29-$C28)))))</f>
        <v/>
      </c>
      <c r="H29" s="37" t="str">
        <f aca="false">IF(AND($B29="",$C29=""),"",ROUND($B$16*$B$17*$F29*(1-$G29),12))</f>
        <v/>
      </c>
      <c r="I29" s="38" t="str">
        <f aca="false">IF(AND($B29="",$C29=""),"",INDEX(Reference!$B$11:$B$15,MATCH($H29,Reference!$C$11:$C$15,1)))</f>
        <v/>
      </c>
      <c r="J29" s="39" t="str">
        <f aca="false">IF(AND($B29="",$C29=""),"",$H29-$H28)</f>
        <v/>
      </c>
      <c r="K29" s="40" t="str">
        <f aca="false">IF(AND($B29="",$C29=""),"",INDEX(Reference!$D$11:$D$15,MATCH($H29,Reference!$C$11:$C$15,1)))</f>
        <v/>
      </c>
    </row>
    <row r="31" customFormat="false" ht="15" hidden="false" customHeight="true" outlineLevel="0" collapsed="false">
      <c r="A31" s="4" t="s">
        <v>170</v>
      </c>
    </row>
    <row r="32" customFormat="false" ht="15" hidden="false" customHeight="true" outlineLevel="0" collapsed="false">
      <c r="A32" s="34" t="s">
        <v>155</v>
      </c>
      <c r="B32" s="30" t="n">
        <v>0.3</v>
      </c>
    </row>
    <row r="33" customFormat="false" ht="15" hidden="false" customHeight="true" outlineLevel="0" collapsed="false">
      <c r="A33" s="34" t="s">
        <v>156</v>
      </c>
      <c r="B33" s="30" t="n">
        <v>0.65</v>
      </c>
    </row>
    <row r="34" customFormat="false" ht="15" hidden="false" customHeight="true" outlineLevel="0" collapsed="false">
      <c r="A34" s="34" t="s">
        <v>157</v>
      </c>
      <c r="B34" s="32" t="n">
        <v>3</v>
      </c>
    </row>
    <row r="35" customFormat="false" ht="15" hidden="false" customHeight="true" outlineLevel="0" collapsed="false">
      <c r="A35" s="34" t="s">
        <v>158</v>
      </c>
      <c r="B35" s="30" t="n">
        <v>0.2</v>
      </c>
    </row>
    <row r="37" customFormat="false" ht="42" hidden="false" customHeight="true" outlineLevel="0" collapsed="false">
      <c r="A37" s="13" t="s">
        <v>159</v>
      </c>
      <c r="B37" s="13" t="s">
        <v>160</v>
      </c>
      <c r="C37" s="13" t="s">
        <v>161</v>
      </c>
      <c r="D37" s="13" t="s">
        <v>162</v>
      </c>
      <c r="E37" s="13" t="s">
        <v>163</v>
      </c>
      <c r="F37" s="13" t="s">
        <v>164</v>
      </c>
      <c r="G37" s="13" t="s">
        <v>165</v>
      </c>
      <c r="H37" s="13" t="s">
        <v>166</v>
      </c>
      <c r="I37" s="13" t="s">
        <v>167</v>
      </c>
      <c r="J37" s="13" t="s">
        <v>168</v>
      </c>
      <c r="K37" s="13" t="s">
        <v>169</v>
      </c>
    </row>
    <row r="38" customFormat="false" ht="24.75" hidden="false" customHeight="true" outlineLevel="0" collapsed="false">
      <c r="A38" s="35" t="n">
        <v>0</v>
      </c>
      <c r="B38" s="33" t="n">
        <v>2</v>
      </c>
      <c r="C38" s="30" t="n">
        <v>0.4</v>
      </c>
      <c r="D38" s="36" t="n">
        <f aca="false">IF(AND($B38="",$C38=""),"",$B38)</f>
        <v>2</v>
      </c>
      <c r="E38" s="37" t="n">
        <f aca="false">IF(AND($B38="",$C38=""),"",0)</f>
        <v>0</v>
      </c>
      <c r="F38" s="37" t="n">
        <f aca="false">IF(AND($B38="",$C38=""),"",$B$5+($B$6-$B$5)*MAX(0,MIN($B$7,IF($B$13=1,$D38+$B$10*$E38,IF($B38="",$D38,$B38))))/$B$7)</f>
        <v>0.516666666666667</v>
      </c>
      <c r="G38" s="36" t="n">
        <f aca="false">IF(AND($B38="",$C38=""),"",$B$35)</f>
        <v>0.2</v>
      </c>
      <c r="H38" s="37" t="n">
        <f aca="false">IF(AND($B38="",$C38=""),"",ROUND($B$32*$B$33*$F38*(1-$G38),12))</f>
        <v>0.0806</v>
      </c>
      <c r="I38" s="38" t="str">
        <f aca="false">IF(AND($B38="",$C38=""),"",INDEX(Reference!$B$11:$B$15,MATCH($H38,Reference!$C$11:$C$15,1)))</f>
        <v>2 · Moderate</v>
      </c>
      <c r="J38" s="39" t="str">
        <f aca="false">""</f>
        <v/>
      </c>
      <c r="K38" s="40" t="str">
        <f aca="false">IF(AND($B38="",$C38=""),"",INDEX(Reference!$D$11:$D$15,MATCH($H38,Reference!$C$11:$C$15,1)))</f>
        <v>Usual-care biannual surveillance appropriate; confirm adherence and recall</v>
      </c>
    </row>
    <row r="39" customFormat="false" ht="24.75" hidden="false" customHeight="true" outlineLevel="0" collapsed="false">
      <c r="A39" s="35" t="n">
        <v>1</v>
      </c>
      <c r="B39" s="33" t="n">
        <v>3</v>
      </c>
      <c r="C39" s="30" t="n">
        <v>0.4</v>
      </c>
      <c r="D39" s="36" t="n">
        <f aca="false">IF(AND($B39="",$C39=""),"",IF($B39="",($D38+$E38),($D38+$E38)+$B$8*($B39-($D38+$E38))))</f>
        <v>2.41</v>
      </c>
      <c r="E39" s="37" t="n">
        <f aca="false">IF(AND($B39="",$C39=""),"",IF($B39="",$E38,$E38+$B$9*($B39-($D38+$E38))))</f>
        <v>0.09</v>
      </c>
      <c r="F39" s="37" t="n">
        <f aca="false">IF(AND($B39="",$C39=""),"",$B$5+($B$6-$B$5)*MAX(0,MIN($B$7,IF($B$13=1,$D39+$B$10*$E39,IF($B39="",$D39,$B39))))/$B$7)</f>
        <v>0.558333333333333</v>
      </c>
      <c r="G39" s="36" t="n">
        <f aca="false">IF(AND($B39="",$C39=""),"",IF($C39="",$G38,MIN($B$12,MAX(0,$G38+$B$11*($C39-$C38)))))</f>
        <v>0.2</v>
      </c>
      <c r="H39" s="37" t="n">
        <f aca="false">IF(AND($B39="",$C39=""),"",ROUND($B$32*$B$33*$F39*(1-$G39),12))</f>
        <v>0.0871</v>
      </c>
      <c r="I39" s="38" t="str">
        <f aca="false">IF(AND($B39="",$C39=""),"",INDEX(Reference!$B$11:$B$15,MATCH($H39,Reference!$C$11:$C$15,1)))</f>
        <v>2 · Moderate</v>
      </c>
      <c r="J39" s="39" t="n">
        <f aca="false">IF(AND($B39="",$C39=""),"",$H39-$H38)</f>
        <v>0.00649999999999999</v>
      </c>
      <c r="K39" s="40" t="str">
        <f aca="false">IF(AND($B39="",$C39=""),"",INDEX(Reference!$D$11:$D$15,MATCH($H39,Reference!$C$11:$C$15,1)))</f>
        <v>Usual-care biannual surveillance appropriate; confirm adherence and recall</v>
      </c>
    </row>
    <row r="40" customFormat="false" ht="24.75" hidden="false" customHeight="true" outlineLevel="0" collapsed="false">
      <c r="A40" s="35" t="n">
        <v>2</v>
      </c>
      <c r="B40" s="33" t="n">
        <v>4</v>
      </c>
      <c r="C40" s="30" t="n">
        <v>0.35</v>
      </c>
      <c r="D40" s="36" t="n">
        <f aca="false">IF(AND($B40="",$C40=""),"",IF($B40="",($D39+$E39),($D39+$E39)+$B$8*($B40-($D39+$E39))))</f>
        <v>3.115</v>
      </c>
      <c r="E40" s="37" t="n">
        <f aca="false">IF(AND($B40="",$C40=""),"",IF($B40="",$E39,$E39+$B$9*($B40-($D39+$E39))))</f>
        <v>0.225</v>
      </c>
      <c r="F40" s="37" t="n">
        <f aca="false">IF(AND($B40="",$C40=""),"",$B$5+($B$6-$B$5)*MAX(0,MIN($B$7,IF($B$13=1,$D40+$B$10*$E40,IF($B40="",$D40,$B40))))/$B$7)</f>
        <v>0.628333333333333</v>
      </c>
      <c r="G40" s="36" t="n">
        <f aca="false">IF(AND($B40="",$C40=""),"",IF($C40="",$G39,MIN($B$12,MAX(0,$G39+$B$11*($C40-$C39)))))</f>
        <v>0.15</v>
      </c>
      <c r="H40" s="37" t="n">
        <f aca="false">IF(AND($B40="",$C40=""),"",ROUND($B$32*$B$33*$F40*(1-$G40),12))</f>
        <v>0.10414625</v>
      </c>
      <c r="I40" s="38" t="str">
        <f aca="false">IF(AND($B40="",$C40=""),"",INDEX(Reference!$B$11:$B$15,MATCH($H40,Reference!$C$11:$C$15,1)))</f>
        <v>2 · Moderate</v>
      </c>
      <c r="J40" s="39" t="n">
        <f aca="false">IF(AND($B40="",$C40=""),"",$H40-$H39)</f>
        <v>0.01704625</v>
      </c>
      <c r="K40" s="40" t="str">
        <f aca="false">IF(AND($B40="",$C40=""),"",INDEX(Reference!$D$11:$D$15,MATCH($H40,Reference!$C$11:$C$15,1)))</f>
        <v>Usual-care biannual surveillance appropriate; confirm adherence and recall</v>
      </c>
    </row>
    <row r="41" customFormat="false" ht="24.75" hidden="false" customHeight="true" outlineLevel="0" collapsed="false">
      <c r="A41" s="35" t="n">
        <v>3</v>
      </c>
      <c r="B41" s="33" t="n">
        <v>5</v>
      </c>
      <c r="C41" s="30" t="n">
        <v>0.35</v>
      </c>
      <c r="D41" s="36" t="n">
        <f aca="false">IF(AND($B41="",$C41=""),"",IF($B41="",($D40+$E40),($D40+$E40)+$B$8*($B41-($D40+$E40))))</f>
        <v>4.0206</v>
      </c>
      <c r="E41" s="37" t="n">
        <f aca="false">IF(AND($B41="",$C41=""),"",IF($B41="",$E40,$E40+$B$9*($B41-($D40+$E40))))</f>
        <v>0.3744</v>
      </c>
      <c r="F41" s="37" t="n">
        <f aca="false">IF(AND($B41="",$C41=""),"",$B$5+($B$6-$B$5)*MAX(0,MIN($B$7,IF($B$13=1,$D41+$B$10*$E41,IF($B41="",$D41,$B41))))/$B$7)</f>
        <v>0.71625</v>
      </c>
      <c r="G41" s="36" t="n">
        <f aca="false">IF(AND($B41="",$C41=""),"",IF($C41="",$G40,MIN($B$12,MAX(0,$G40+$B$11*($C41-$C40)))))</f>
        <v>0.15</v>
      </c>
      <c r="H41" s="37" t="n">
        <f aca="false">IF(AND($B41="",$C41=""),"",ROUND($B$32*$B$33*$F41*(1-$G41),12))</f>
        <v>0.1187184375</v>
      </c>
      <c r="I41" s="38" t="str">
        <f aca="false">IF(AND($B41="",$C41=""),"",INDEX(Reference!$B$11:$B$15,MATCH($H41,Reference!$C$11:$C$15,1)))</f>
        <v>2 · Moderate</v>
      </c>
      <c r="J41" s="39" t="n">
        <f aca="false">IF(AND($B41="",$C41=""),"",$H41-$H40)</f>
        <v>0.0145721875</v>
      </c>
      <c r="K41" s="40" t="str">
        <f aca="false">IF(AND($B41="",$C41=""),"",INDEX(Reference!$D$11:$D$15,MATCH($H41,Reference!$C$11:$C$15,1)))</f>
        <v>Usual-care biannual surveillance appropriate; confirm adherence and recall</v>
      </c>
    </row>
    <row r="42" customFormat="false" ht="15" hidden="false" customHeight="true" outlineLevel="0" collapsed="false">
      <c r="A42" s="35" t="n">
        <v>4</v>
      </c>
      <c r="B42" s="33"/>
      <c r="C42" s="30"/>
      <c r="D42" s="36" t="str">
        <f aca="false">IF(AND($B42="",$C42=""),"",IF($B42="",($D41+$E41),($D41+$E41)+$B$8*($B42-($D41+$E41))))</f>
        <v/>
      </c>
      <c r="E42" s="37" t="str">
        <f aca="false">IF(AND($B42="",$C42=""),"",IF($B42="",$E41,$E41+$B$9*($B42-($D41+$E41))))</f>
        <v/>
      </c>
      <c r="F42" s="37" t="str">
        <f aca="false">IF(AND($B42="",$C42=""),"",$B$5+($B$6-$B$5)*MAX(0,MIN($B$7,IF($B$13=1,$D42+$B$10*$E42,IF($B42="",$D42,$B42))))/$B$7)</f>
        <v/>
      </c>
      <c r="G42" s="36" t="str">
        <f aca="false">IF(AND($B42="",$C42=""),"",IF($C42="",$G41,MIN($B$12,MAX(0,$G41+$B$11*($C42-$C41)))))</f>
        <v/>
      </c>
      <c r="H42" s="37" t="str">
        <f aca="false">IF(AND($B42="",$C42=""),"",ROUND($B$32*$B$33*$F42*(1-$G42),12))</f>
        <v/>
      </c>
      <c r="I42" s="38" t="str">
        <f aca="false">IF(AND($B42="",$C42=""),"",INDEX(Reference!$B$11:$B$15,MATCH($H42,Reference!$C$11:$C$15,1)))</f>
        <v/>
      </c>
      <c r="J42" s="39" t="str">
        <f aca="false">IF(AND($B42="",$C42=""),"",$H42-$H41)</f>
        <v/>
      </c>
      <c r="K42" s="40" t="str">
        <f aca="false">IF(AND($B42="",$C42=""),"",INDEX(Reference!$D$11:$D$15,MATCH($H42,Reference!$C$11:$C$15,1)))</f>
        <v/>
      </c>
    </row>
    <row r="43" customFormat="false" ht="15" hidden="false" customHeight="true" outlineLevel="0" collapsed="false">
      <c r="A43" s="35" t="n">
        <v>5</v>
      </c>
      <c r="B43" s="33"/>
      <c r="C43" s="30"/>
      <c r="D43" s="36" t="str">
        <f aca="false">IF(AND($B43="",$C43=""),"",IF($B43="",($D42+$E42),($D42+$E42)+$B$8*($B43-($D42+$E42))))</f>
        <v/>
      </c>
      <c r="E43" s="37" t="str">
        <f aca="false">IF(AND($B43="",$C43=""),"",IF($B43="",$E42,$E42+$B$9*($B43-($D42+$E42))))</f>
        <v/>
      </c>
      <c r="F43" s="37" t="str">
        <f aca="false">IF(AND($B43="",$C43=""),"",$B$5+($B$6-$B$5)*MAX(0,MIN($B$7,IF($B$13=1,$D43+$B$10*$E43,IF($B43="",$D43,$B43))))/$B$7)</f>
        <v/>
      </c>
      <c r="G43" s="36" t="str">
        <f aca="false">IF(AND($B43="",$C43=""),"",IF($C43="",$G42,MIN($B$12,MAX(0,$G42+$B$11*($C43-$C42)))))</f>
        <v/>
      </c>
      <c r="H43" s="37" t="str">
        <f aca="false">IF(AND($B43="",$C43=""),"",ROUND($B$32*$B$33*$F43*(1-$G43),12))</f>
        <v/>
      </c>
      <c r="I43" s="38" t="str">
        <f aca="false">IF(AND($B43="",$C43=""),"",INDEX(Reference!$B$11:$B$15,MATCH($H43,Reference!$C$11:$C$15,1)))</f>
        <v/>
      </c>
      <c r="J43" s="39" t="str">
        <f aca="false">IF(AND($B43="",$C43=""),"",$H43-$H42)</f>
        <v/>
      </c>
      <c r="K43" s="40" t="str">
        <f aca="false">IF(AND($B43="",$C43=""),"",INDEX(Reference!$D$11:$D$15,MATCH($H43,Reference!$C$11:$C$15,1)))</f>
        <v/>
      </c>
    </row>
    <row r="44" customFormat="false" ht="15" hidden="false" customHeight="true" outlineLevel="0" collapsed="false">
      <c r="A44" s="35" t="n">
        <v>6</v>
      </c>
      <c r="B44" s="33"/>
      <c r="C44" s="30"/>
      <c r="D44" s="36" t="str">
        <f aca="false">IF(AND($B44="",$C44=""),"",IF($B44="",($D43+$E43),($D43+$E43)+$B$8*($B44-($D43+$E43))))</f>
        <v/>
      </c>
      <c r="E44" s="37" t="str">
        <f aca="false">IF(AND($B44="",$C44=""),"",IF($B44="",$E43,$E43+$B$9*($B44-($D43+$E43))))</f>
        <v/>
      </c>
      <c r="F44" s="37" t="str">
        <f aca="false">IF(AND($B44="",$C44=""),"",$B$5+($B$6-$B$5)*MAX(0,MIN($B$7,IF($B$13=1,$D44+$B$10*$E44,IF($B44="",$D44,$B44))))/$B$7)</f>
        <v/>
      </c>
      <c r="G44" s="36" t="str">
        <f aca="false">IF(AND($B44="",$C44=""),"",IF($C44="",$G43,MIN($B$12,MAX(0,$G43+$B$11*($C44-$C43)))))</f>
        <v/>
      </c>
      <c r="H44" s="37" t="str">
        <f aca="false">IF(AND($B44="",$C44=""),"",ROUND($B$32*$B$33*$F44*(1-$G44),12))</f>
        <v/>
      </c>
      <c r="I44" s="38" t="str">
        <f aca="false">IF(AND($B44="",$C44=""),"",INDEX(Reference!$B$11:$B$15,MATCH($H44,Reference!$C$11:$C$15,1)))</f>
        <v/>
      </c>
      <c r="J44" s="39" t="str">
        <f aca="false">IF(AND($B44="",$C44=""),"",$H44-$H43)</f>
        <v/>
      </c>
      <c r="K44" s="40" t="str">
        <f aca="false">IF(AND($B44="",$C44=""),"",INDEX(Reference!$D$11:$D$15,MATCH($H44,Reference!$C$11:$C$15,1)))</f>
        <v/>
      </c>
    </row>
    <row r="45" customFormat="false" ht="15" hidden="false" customHeight="true" outlineLevel="0" collapsed="false">
      <c r="A45" s="35" t="n">
        <v>7</v>
      </c>
      <c r="B45" s="33"/>
      <c r="C45" s="30"/>
      <c r="D45" s="36" t="str">
        <f aca="false">IF(AND($B45="",$C45=""),"",IF($B45="",($D44+$E44),($D44+$E44)+$B$8*($B45-($D44+$E44))))</f>
        <v/>
      </c>
      <c r="E45" s="37" t="str">
        <f aca="false">IF(AND($B45="",$C45=""),"",IF($B45="",$E44,$E44+$B$9*($B45-($D44+$E44))))</f>
        <v/>
      </c>
      <c r="F45" s="37" t="str">
        <f aca="false">IF(AND($B45="",$C45=""),"",$B$5+($B$6-$B$5)*MAX(0,MIN($B$7,IF($B$13=1,$D45+$B$10*$E45,IF($B45="",$D45,$B45))))/$B$7)</f>
        <v/>
      </c>
      <c r="G45" s="36" t="str">
        <f aca="false">IF(AND($B45="",$C45=""),"",IF($C45="",$G44,MIN($B$12,MAX(0,$G44+$B$11*($C45-$C44)))))</f>
        <v/>
      </c>
      <c r="H45" s="37" t="str">
        <f aca="false">IF(AND($B45="",$C45=""),"",ROUND($B$32*$B$33*$F45*(1-$G45),12))</f>
        <v/>
      </c>
      <c r="I45" s="38" t="str">
        <f aca="false">IF(AND($B45="",$C45=""),"",INDEX(Reference!$B$11:$B$15,MATCH($H45,Reference!$C$11:$C$15,1)))</f>
        <v/>
      </c>
      <c r="J45" s="39" t="str">
        <f aca="false">IF(AND($B45="",$C45=""),"",$H45-$H44)</f>
        <v/>
      </c>
      <c r="K45" s="40" t="str">
        <f aca="false">IF(AND($B45="",$C45=""),"",INDEX(Reference!$D$11:$D$15,MATCH($H45,Reference!$C$11:$C$15,1)))</f>
        <v/>
      </c>
    </row>
    <row r="47" customFormat="false" ht="15" hidden="false" customHeight="true" outlineLevel="0" collapsed="false">
      <c r="A47" s="4" t="s">
        <v>171</v>
      </c>
    </row>
    <row r="48" customFormat="false" ht="30" hidden="false" customHeight="true" outlineLevel="0" collapsed="false">
      <c r="A48" s="12" t="s">
        <v>172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customFormat="false" ht="30" hidden="false" customHeight="true" outlineLevel="0" collapsed="false">
      <c r="A49" s="12" t="s">
        <v>173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customFormat="false" ht="30" hidden="false" customHeight="true" outlineLevel="0" collapsed="false">
      <c r="A50" s="12" t="s">
        <v>174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customFormat="false" ht="30" hidden="false" customHeight="true" outlineLevel="0" collapsed="false">
      <c r="A51" s="12" t="s">
        <v>175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customFormat="false" ht="30" hidden="false" customHeight="true" outlineLevel="0" collapsed="false">
      <c r="A52" s="12" t="s">
        <v>176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customFormat="false" ht="15" hidden="false" customHeight="true" outlineLevel="0" collapsed="false">
      <c r="A53" s="41" t="s">
        <v>177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</row>
  </sheetData>
  <mergeCells count="16">
    <mergeCell ref="A2:K2"/>
    <mergeCell ref="C5:K5"/>
    <mergeCell ref="C6:K6"/>
    <mergeCell ref="C7:K7"/>
    <mergeCell ref="C8:K8"/>
    <mergeCell ref="C9:K9"/>
    <mergeCell ref="C10:K10"/>
    <mergeCell ref="C11:K11"/>
    <mergeCell ref="C12:K12"/>
    <mergeCell ref="C13:K13"/>
    <mergeCell ref="A48:K48"/>
    <mergeCell ref="A49:K49"/>
    <mergeCell ref="A50:K50"/>
    <mergeCell ref="A51:K51"/>
    <mergeCell ref="A52:K52"/>
    <mergeCell ref="A53:K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20"/>
  </cols>
  <sheetData>
    <row r="2" customFormat="false" ht="21.75" hidden="false" customHeight="true" outlineLevel="0" collapsed="false">
      <c r="B2" s="2" t="s">
        <v>178</v>
      </c>
    </row>
    <row r="3" customFormat="false" ht="30" hidden="false" customHeight="true" outlineLevel="0" collapsed="false">
      <c r="B3" s="12" t="s">
        <v>179</v>
      </c>
      <c r="C3" s="12"/>
      <c r="D3" s="12"/>
      <c r="E3" s="12"/>
      <c r="F3" s="12"/>
      <c r="G3" s="12"/>
    </row>
    <row r="5" customFormat="false" ht="15" hidden="false" customHeight="true" outlineLevel="0" collapsed="false">
      <c r="B5" s="4" t="s">
        <v>180</v>
      </c>
    </row>
    <row r="6" customFormat="false" ht="30" hidden="false" customHeight="true" outlineLevel="0" collapsed="false">
      <c r="B6" s="12" t="s">
        <v>181</v>
      </c>
      <c r="C6" s="12"/>
      <c r="D6" s="12"/>
      <c r="E6" s="12"/>
      <c r="F6" s="12"/>
      <c r="G6" s="12"/>
    </row>
    <row r="8" customFormat="false" ht="15" hidden="false" customHeight="true" outlineLevel="0" collapsed="false">
      <c r="B8" s="10" t="s">
        <v>182</v>
      </c>
      <c r="C8" s="42" t="n">
        <v>35</v>
      </c>
    </row>
    <row r="9" customFormat="false" ht="15" hidden="false" customHeight="true" outlineLevel="0" collapsed="false">
      <c r="B9" s="10" t="s">
        <v>183</v>
      </c>
      <c r="C9" s="42" t="n">
        <v>20</v>
      </c>
    </row>
    <row r="10" customFormat="false" ht="15" hidden="false" customHeight="true" outlineLevel="0" collapsed="false">
      <c r="B10" s="10" t="s">
        <v>184</v>
      </c>
      <c r="C10" s="43" t="n">
        <f aca="false">LOG10(C9)*0.66+C8*(-0.085)</f>
        <v>-2.11632020286177</v>
      </c>
    </row>
    <row r="11" customFormat="false" ht="15" hidden="false" customHeight="true" outlineLevel="0" collapsed="false">
      <c r="B11" s="10" t="s">
        <v>185</v>
      </c>
      <c r="C11" s="44" t="n">
        <f aca="false">IF(C10&lt;=-2.6,1,IF(C10&lt;=-1.39,2,3))</f>
        <v>2</v>
      </c>
    </row>
    <row r="12" customFormat="false" ht="15" hidden="false" customHeight="true" outlineLevel="0" collapsed="false">
      <c r="B12" s="10" t="s">
        <v>186</v>
      </c>
      <c r="C12" s="45" t="n">
        <f aca="false">CHOOSE(C11,0.35,0.6,0.85)</f>
        <v>0.6</v>
      </c>
      <c r="D12" s="46" t="s">
        <v>187</v>
      </c>
    </row>
    <row r="14" customFormat="false" ht="15" hidden="false" customHeight="true" outlineLevel="0" collapsed="false">
      <c r="B14" s="4" t="s">
        <v>188</v>
      </c>
    </row>
    <row r="15" customFormat="false" ht="15" hidden="false" customHeight="true" outlineLevel="0" collapsed="false">
      <c r="B15" s="12" t="s">
        <v>189</v>
      </c>
      <c r="C15" s="12"/>
      <c r="D15" s="12"/>
      <c r="E15" s="12"/>
      <c r="F15" s="12"/>
      <c r="G15" s="12"/>
    </row>
    <row r="17" customFormat="false" ht="15" hidden="false" customHeight="true" outlineLevel="0" collapsed="false">
      <c r="B17" s="47" t="s">
        <v>190</v>
      </c>
      <c r="C17" s="47" t="s">
        <v>191</v>
      </c>
      <c r="D17" s="47" t="s">
        <v>192</v>
      </c>
      <c r="E17" s="47" t="s">
        <v>193</v>
      </c>
      <c r="F17" s="47" t="s">
        <v>194</v>
      </c>
      <c r="G17" s="47" t="s">
        <v>195</v>
      </c>
    </row>
    <row r="18" customFormat="false" ht="15" hidden="false" customHeight="true" outlineLevel="0" collapsed="false">
      <c r="B18" s="10" t="s">
        <v>196</v>
      </c>
      <c r="C18" s="15" t="n">
        <v>10</v>
      </c>
      <c r="D18" s="15" t="n">
        <v>18</v>
      </c>
      <c r="E18" s="15" t="n">
        <v>1</v>
      </c>
      <c r="F18" s="44" t="n">
        <f aca="false">C18+D18+E18</f>
        <v>29</v>
      </c>
      <c r="G18" s="43" t="n">
        <f aca="false">(C18*0.35+D18*0.6+E18*0.85)/F18</f>
        <v>0.522413793103448</v>
      </c>
    </row>
    <row r="19" customFormat="false" ht="15" hidden="false" customHeight="true" outlineLevel="0" collapsed="false">
      <c r="B19" s="10" t="s">
        <v>197</v>
      </c>
      <c r="C19" s="15" t="n">
        <v>12</v>
      </c>
      <c r="D19" s="15" t="n">
        <v>13</v>
      </c>
      <c r="E19" s="15" t="n">
        <v>0</v>
      </c>
      <c r="F19" s="44" t="n">
        <f aca="false">C19+D19+E19</f>
        <v>25</v>
      </c>
      <c r="G19" s="43" t="n">
        <f aca="false">(C19*0.35+D19*0.6+E19*0.85)/F19</f>
        <v>0.48</v>
      </c>
    </row>
    <row r="21" customFormat="false" ht="57.75" hidden="false" customHeight="true" outlineLevel="0" collapsed="false">
      <c r="B21" s="12" t="s">
        <v>198</v>
      </c>
      <c r="C21" s="12"/>
      <c r="D21" s="12"/>
      <c r="E21" s="12"/>
      <c r="F21" s="12"/>
      <c r="G21" s="12"/>
    </row>
    <row r="23" customFormat="false" ht="43.5" hidden="false" customHeight="true" outlineLevel="0" collapsed="false">
      <c r="B23" s="9" t="s">
        <v>37</v>
      </c>
      <c r="C23" s="9"/>
      <c r="D23" s="9"/>
      <c r="E23" s="9"/>
      <c r="F23" s="9"/>
      <c r="G23" s="9"/>
    </row>
  </sheetData>
  <mergeCells count="5">
    <mergeCell ref="B3:G3"/>
    <mergeCell ref="B6:G6"/>
    <mergeCell ref="B15:G15"/>
    <mergeCell ref="B21:G21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38"/>
    <col collapsed="false" customWidth="true" hidden="false" outlineLevel="0" max="4" min="4" style="1" width="86"/>
    <col collapsed="false" customWidth="true" hidden="false" outlineLevel="0" max="5" min="5" style="1" width="4"/>
  </cols>
  <sheetData>
    <row r="2" customFormat="false" ht="21.75" hidden="false" customHeight="true" outlineLevel="0" collapsed="false">
      <c r="B2" s="2" t="s">
        <v>199</v>
      </c>
    </row>
    <row r="4" customFormat="false" ht="15" hidden="false" customHeight="true" outlineLevel="0" collapsed="false">
      <c r="B4" s="4" t="s">
        <v>200</v>
      </c>
    </row>
    <row r="5" customFormat="false" ht="15" hidden="false" customHeight="true" outlineLevel="0" collapsed="false">
      <c r="B5" s="10" t="s">
        <v>201</v>
      </c>
      <c r="C5" s="48" t="n">
        <v>100</v>
      </c>
      <c r="D5" s="49" t="s">
        <v>202</v>
      </c>
    </row>
    <row r="6" customFormat="false" ht="27.75" hidden="false" customHeight="true" outlineLevel="0" collapsed="false">
      <c r="B6" s="10" t="s">
        <v>203</v>
      </c>
      <c r="C6" s="48" t="n">
        <v>5000000</v>
      </c>
      <c r="D6" s="49" t="s">
        <v>204</v>
      </c>
    </row>
    <row r="7" customFormat="false" ht="27.75" hidden="false" customHeight="true" outlineLevel="0" collapsed="false">
      <c r="B7" s="10" t="s">
        <v>205</v>
      </c>
      <c r="C7" s="48" t="n">
        <v>1000000</v>
      </c>
      <c r="D7" s="49" t="s">
        <v>206</v>
      </c>
    </row>
    <row r="9" customFormat="false" ht="15" hidden="false" customHeight="true" outlineLevel="0" collapsed="false">
      <c r="B9" s="4" t="s">
        <v>207</v>
      </c>
    </row>
    <row r="10" customFormat="false" ht="15" hidden="false" customHeight="true" outlineLevel="0" collapsed="false">
      <c r="B10" s="47" t="s">
        <v>167</v>
      </c>
      <c r="C10" s="47" t="s">
        <v>208</v>
      </c>
      <c r="D10" s="47" t="s">
        <v>209</v>
      </c>
    </row>
    <row r="11" customFormat="false" ht="15" hidden="false" customHeight="true" outlineLevel="0" collapsed="false">
      <c r="B11" s="10" t="s">
        <v>210</v>
      </c>
      <c r="C11" s="45" t="n">
        <v>0</v>
      </c>
      <c r="D11" s="6" t="s">
        <v>211</v>
      </c>
    </row>
    <row r="12" customFormat="false" ht="15" hidden="false" customHeight="true" outlineLevel="0" collapsed="false">
      <c r="B12" s="10" t="s">
        <v>212</v>
      </c>
      <c r="C12" s="45" t="n">
        <v>0.05</v>
      </c>
      <c r="D12" s="6" t="s">
        <v>213</v>
      </c>
    </row>
    <row r="13" customFormat="false" ht="15" hidden="false" customHeight="true" outlineLevel="0" collapsed="false">
      <c r="B13" s="10" t="s">
        <v>214</v>
      </c>
      <c r="C13" s="45" t="n">
        <v>0.15</v>
      </c>
      <c r="D13" s="6" t="s">
        <v>215</v>
      </c>
    </row>
    <row r="14" customFormat="false" ht="15" hidden="false" customHeight="true" outlineLevel="0" collapsed="false">
      <c r="B14" s="10" t="s">
        <v>216</v>
      </c>
      <c r="C14" s="45" t="n">
        <v>0.35</v>
      </c>
      <c r="D14" s="6" t="s">
        <v>217</v>
      </c>
    </row>
    <row r="15" customFormat="false" ht="15" hidden="false" customHeight="true" outlineLevel="0" collapsed="false">
      <c r="B15" s="10" t="s">
        <v>218</v>
      </c>
      <c r="C15" s="45" t="n">
        <v>0.6</v>
      </c>
      <c r="D15" s="6" t="s">
        <v>219</v>
      </c>
    </row>
    <row r="16" customFormat="false" ht="42" hidden="false" customHeight="true" outlineLevel="0" collapsed="false">
      <c r="B16" s="12" t="s">
        <v>220</v>
      </c>
      <c r="C16" s="12"/>
      <c r="D16" s="12"/>
    </row>
    <row r="18" customFormat="false" ht="15" hidden="false" customHeight="true" outlineLevel="0" collapsed="false">
      <c r="B18" s="4" t="s">
        <v>221</v>
      </c>
    </row>
    <row r="19" customFormat="false" ht="15" hidden="false" customHeight="true" outlineLevel="0" collapsed="false">
      <c r="B19" s="47" t="s">
        <v>88</v>
      </c>
      <c r="C19" s="47" t="s">
        <v>222</v>
      </c>
      <c r="D19" s="47" t="s">
        <v>223</v>
      </c>
    </row>
    <row r="20" customFormat="false" ht="15" hidden="false" customHeight="true" outlineLevel="0" collapsed="false">
      <c r="B20" s="10" t="s">
        <v>224</v>
      </c>
      <c r="C20" s="45" t="n">
        <v>0.1</v>
      </c>
      <c r="D20" s="6" t="s">
        <v>225</v>
      </c>
    </row>
    <row r="21" customFormat="false" ht="15" hidden="false" customHeight="true" outlineLevel="0" collapsed="false">
      <c r="B21" s="10" t="s">
        <v>226</v>
      </c>
      <c r="C21" s="45" t="n">
        <v>0.3</v>
      </c>
      <c r="D21" s="6" t="s">
        <v>227</v>
      </c>
    </row>
    <row r="22" customFormat="false" ht="15" hidden="false" customHeight="true" outlineLevel="0" collapsed="false">
      <c r="B22" s="10" t="s">
        <v>228</v>
      </c>
      <c r="C22" s="45" t="n">
        <v>0.5</v>
      </c>
      <c r="D22" s="6" t="s">
        <v>229</v>
      </c>
    </row>
    <row r="23" customFormat="false" ht="15" hidden="false" customHeight="true" outlineLevel="0" collapsed="false">
      <c r="B23" s="10" t="s">
        <v>230</v>
      </c>
      <c r="C23" s="45" t="n">
        <v>0.75</v>
      </c>
      <c r="D23" s="6" t="s">
        <v>231</v>
      </c>
    </row>
    <row r="24" customFormat="false" ht="15" hidden="false" customHeight="true" outlineLevel="0" collapsed="false">
      <c r="B24" s="10" t="s">
        <v>232</v>
      </c>
      <c r="C24" s="45" t="n">
        <v>1</v>
      </c>
      <c r="D24" s="6" t="s">
        <v>233</v>
      </c>
    </row>
    <row r="26" customFormat="false" ht="15" hidden="false" customHeight="true" outlineLevel="0" collapsed="false">
      <c r="B26" s="4" t="s">
        <v>234</v>
      </c>
    </row>
    <row r="27" customFormat="false" ht="15" hidden="false" customHeight="true" outlineLevel="0" collapsed="false">
      <c r="B27" s="47" t="s">
        <v>235</v>
      </c>
      <c r="C27" s="47" t="s">
        <v>236</v>
      </c>
      <c r="D27" s="47" t="s">
        <v>237</v>
      </c>
    </row>
    <row r="28" customFormat="false" ht="15" hidden="false" customHeight="true" outlineLevel="0" collapsed="false">
      <c r="B28" s="10" t="s">
        <v>238</v>
      </c>
      <c r="C28" s="45" t="n">
        <v>0.15</v>
      </c>
      <c r="D28" s="7" t="s">
        <v>239</v>
      </c>
    </row>
    <row r="29" customFormat="false" ht="15" hidden="false" customHeight="true" outlineLevel="0" collapsed="false">
      <c r="B29" s="10" t="s">
        <v>240</v>
      </c>
      <c r="C29" s="45" t="n">
        <v>0.2</v>
      </c>
      <c r="D29" s="7" t="s">
        <v>241</v>
      </c>
    </row>
    <row r="30" customFormat="false" ht="15" hidden="false" customHeight="true" outlineLevel="0" collapsed="false">
      <c r="B30" s="10" t="s">
        <v>242</v>
      </c>
      <c r="C30" s="45" t="n">
        <v>0.45</v>
      </c>
      <c r="D30" s="7" t="s">
        <v>243</v>
      </c>
    </row>
    <row r="31" customFormat="false" ht="15" hidden="false" customHeight="true" outlineLevel="0" collapsed="false">
      <c r="B31" s="10" t="s">
        <v>244</v>
      </c>
      <c r="C31" s="45" t="n">
        <v>0.5</v>
      </c>
      <c r="D31" s="7" t="s">
        <v>245</v>
      </c>
    </row>
    <row r="32" customFormat="false" ht="15" hidden="false" customHeight="true" outlineLevel="0" collapsed="false">
      <c r="B32" s="10" t="s">
        <v>246</v>
      </c>
      <c r="C32" s="45" t="n">
        <v>0.65</v>
      </c>
      <c r="D32" s="7" t="s">
        <v>247</v>
      </c>
    </row>
    <row r="33" customFormat="false" ht="30" hidden="false" customHeight="true" outlineLevel="0" collapsed="false">
      <c r="B33" s="9" t="s">
        <v>248</v>
      </c>
      <c r="C33" s="9"/>
      <c r="D33" s="9"/>
    </row>
    <row r="34" customFormat="false" ht="15" hidden="false" customHeight="true" outlineLevel="0" collapsed="false">
      <c r="B34" s="4" t="s">
        <v>249</v>
      </c>
    </row>
    <row r="35" customFormat="false" ht="31.5" hidden="false" customHeight="true" outlineLevel="0" collapsed="false">
      <c r="B35" s="47" t="s">
        <v>250</v>
      </c>
      <c r="C35" s="47" t="s">
        <v>251</v>
      </c>
      <c r="D35" s="47" t="s">
        <v>252</v>
      </c>
    </row>
    <row r="36" customFormat="false" ht="27.75" hidden="false" customHeight="true" outlineLevel="0" collapsed="false">
      <c r="B36" s="50" t="s">
        <v>253</v>
      </c>
      <c r="C36" s="50" t="s">
        <v>254</v>
      </c>
      <c r="D36" s="50" t="s">
        <v>255</v>
      </c>
    </row>
    <row r="37" customFormat="false" ht="27.75" hidden="false" customHeight="true" outlineLevel="0" collapsed="false">
      <c r="B37" s="50" t="s">
        <v>256</v>
      </c>
      <c r="C37" s="50" t="s">
        <v>257</v>
      </c>
      <c r="D37" s="50" t="s">
        <v>258</v>
      </c>
    </row>
    <row r="38" customFormat="false" ht="27.75" hidden="false" customHeight="true" outlineLevel="0" collapsed="false">
      <c r="B38" s="50" t="s">
        <v>259</v>
      </c>
      <c r="C38" s="50" t="s">
        <v>260</v>
      </c>
      <c r="D38" s="50" t="s">
        <v>261</v>
      </c>
    </row>
    <row r="39" customFormat="false" ht="27.75" hidden="false" customHeight="true" outlineLevel="0" collapsed="false">
      <c r="B39" s="50" t="s">
        <v>262</v>
      </c>
      <c r="C39" s="50" t="s">
        <v>263</v>
      </c>
      <c r="D39" s="50" t="s">
        <v>264</v>
      </c>
    </row>
    <row r="40" customFormat="false" ht="27.75" hidden="false" customHeight="true" outlineLevel="0" collapsed="false">
      <c r="B40" s="50" t="s">
        <v>265</v>
      </c>
      <c r="C40" s="50" t="s">
        <v>266</v>
      </c>
      <c r="D40" s="50" t="s">
        <v>267</v>
      </c>
    </row>
    <row r="42" customFormat="false" ht="30" hidden="false" customHeight="true" outlineLevel="0" collapsed="false">
      <c r="B42" s="12" t="s">
        <v>268</v>
      </c>
      <c r="C42" s="12"/>
      <c r="D42" s="12"/>
    </row>
    <row r="44" customFormat="false" ht="43.5" hidden="false" customHeight="true" outlineLevel="0" collapsed="false">
      <c r="B44" s="9" t="s">
        <v>37</v>
      </c>
      <c r="C44" s="9"/>
      <c r="D44" s="9"/>
    </row>
  </sheetData>
  <mergeCells count="4">
    <mergeCell ref="B16:D16"/>
    <mergeCell ref="B33:D33"/>
    <mergeCell ref="B42:D42"/>
    <mergeCell ref="B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60"/>
    <col collapsed="false" customWidth="true" hidden="false" outlineLevel="0" max="4" min="4" style="1" width="52"/>
  </cols>
  <sheetData>
    <row r="2" customFormat="false" ht="21.75" hidden="false" customHeight="true" outlineLevel="0" collapsed="false">
      <c r="B2" s="2" t="s">
        <v>269</v>
      </c>
    </row>
    <row r="3" customFormat="false" ht="15" hidden="false" customHeight="true" outlineLevel="0" collapsed="false">
      <c r="B3" s="12" t="s">
        <v>270</v>
      </c>
      <c r="C3" s="12"/>
      <c r="D3" s="12"/>
    </row>
    <row r="5" customFormat="false" ht="15" hidden="false" customHeight="true" outlineLevel="0" collapsed="false">
      <c r="B5" s="8" t="s">
        <v>80</v>
      </c>
      <c r="C5" s="8" t="s">
        <v>271</v>
      </c>
      <c r="D5" s="8" t="s">
        <v>272</v>
      </c>
    </row>
    <row r="6" customFormat="false" ht="43.5" hidden="false" customHeight="true" outlineLevel="0" collapsed="false">
      <c r="B6" s="51" t="s">
        <v>273</v>
      </c>
      <c r="C6" s="52" t="s">
        <v>274</v>
      </c>
      <c r="D6" s="52" t="s">
        <v>275</v>
      </c>
    </row>
    <row r="7" customFormat="false" ht="43.5" hidden="false" customHeight="true" outlineLevel="0" collapsed="false">
      <c r="B7" s="51" t="s">
        <v>276</v>
      </c>
      <c r="C7" s="52" t="s">
        <v>277</v>
      </c>
      <c r="D7" s="52" t="s">
        <v>278</v>
      </c>
    </row>
    <row r="8" customFormat="false" ht="43.5" hidden="false" customHeight="true" outlineLevel="0" collapsed="false">
      <c r="B8" s="51" t="s">
        <v>279</v>
      </c>
      <c r="C8" s="52" t="s">
        <v>280</v>
      </c>
      <c r="D8" s="52" t="s">
        <v>281</v>
      </c>
    </row>
    <row r="9" customFormat="false" ht="43.5" hidden="false" customHeight="true" outlineLevel="0" collapsed="false">
      <c r="B9" s="51" t="s">
        <v>282</v>
      </c>
      <c r="C9" s="52" t="s">
        <v>283</v>
      </c>
      <c r="D9" s="52" t="s">
        <v>284</v>
      </c>
    </row>
    <row r="10" customFormat="false" ht="43.5" hidden="false" customHeight="true" outlineLevel="0" collapsed="false">
      <c r="B10" s="51" t="s">
        <v>285</v>
      </c>
      <c r="C10" s="52" t="s">
        <v>286</v>
      </c>
      <c r="D10" s="52" t="s">
        <v>287</v>
      </c>
    </row>
    <row r="11" customFormat="false" ht="43.5" hidden="false" customHeight="true" outlineLevel="0" collapsed="false">
      <c r="B11" s="51" t="s">
        <v>288</v>
      </c>
      <c r="C11" s="52" t="s">
        <v>289</v>
      </c>
      <c r="D11" s="52" t="s">
        <v>290</v>
      </c>
    </row>
    <row r="13" customFormat="false" ht="43.5" hidden="false" customHeight="true" outlineLevel="0" collapsed="false">
      <c r="B13" s="12" t="s">
        <v>291</v>
      </c>
      <c r="C13" s="12"/>
      <c r="D13" s="12"/>
    </row>
    <row r="15" customFormat="false" ht="43.5" hidden="false" customHeight="true" outlineLevel="0" collapsed="false">
      <c r="B15" s="9" t="s">
        <v>37</v>
      </c>
      <c r="C15" s="9"/>
      <c r="D15" s="9"/>
    </row>
  </sheetData>
  <mergeCells count="3">
    <mergeCell ref="B3:D3"/>
    <mergeCell ref="B13:D13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2026-09-29T00:00:23Z</dcterms:created>
  <dc:creator>Cesar Marolla</dc:creator>
  <dc:description/>
  <dc:language>en-US</dc:language>
  <cp:lastModifiedBy>Cesar Marolla</cp:lastModifiedBy>
  <dcterms:modified xsi:type="dcterms:W3CDTF">2026-10-11T00:44:45Z</dcterms:modified>
  <cp:revision>0</cp:revision>
  <dc:subject/>
  <dc:title>RMTI-HCC Calculator v2.3.0 (time-indexed)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