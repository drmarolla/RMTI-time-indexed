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ver" sheetId="1" state="visible" r:id="rId3"/>
    <sheet name="How to Use" sheetId="2" state="visible" r:id="rId4"/>
    <sheet name="Reference" sheetId="3" state="visible" r:id="rId5"/>
    <sheet name="RMTI Calculator" sheetId="4" state="visible" r:id="rId6"/>
    <sheet name="Trajectory" sheetId="5" state="visible" r:id="rId7"/>
  </sheets>
  <definedNames>
    <definedName function="false" hidden="false" name="Nmax" vbProcedure="false">Reference!$C$6</definedName>
    <definedName function="false" hidden="false" name="Nmin" vbProcedure="false">Reference!$C$5</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E11" authorId="0">
      <text>
        <r>
          <rPr>
            <sz val="10"/>
            <rFont val="Arial"/>
            <family val="2"/>
          </rPr>
          <t xml:space="preserve">Population N = 21,300: the fire-area population from the Palisades Fire's own demographic-profile area (LAEDC Institute for Applied Economics, 2025). Corrected from 23,700 (a neighborhood-wide tract estimate) in the framework v2.0.0 data correction, so N means the same thing as on every other row: people within the hazard footprint.</t>
        </r>
      </text>
    </comment>
    <comment ref="E12" authorId="0">
      <text>
        <r>
          <rPr>
            <sz val="10"/>
            <rFont val="Arial"/>
            <family val="2"/>
          </rPr>
          <t xml:space="preserve">Population N = 23,000: the fire-area population from the Eaton Fire's own demographic-profile area (LAEDC Institute for Applied Economics, 2025), not Altadena's total CDP population (42,846, 2020 Census). Corrected in the framework v2.0.0 data correction so N is the exposed population, as on every other row.</t>
        </r>
      </text>
    </comment>
    <comment ref="F11" authorId="0">
      <text>
        <r>
          <rPr>
            <sz val="10"/>
            <rFont val="Arial"/>
            <family val="2"/>
          </rPr>
          <t xml:space="preserve">L = 0.40: annual probability that the hazard materially strikes the asset. Very High Fire Hazard Severity Zone (CAL FIRE FHSZ) at the WUI supports an elevated L, but not the near-annual certainty that 0.90 implied. Corrected from 0.90 (framework v2.0.0): 0.90 was inconsistent with L's own definition and with the range this table reserves for near-certain seasonal flooding. Unified with Altadena (same FHSZ class, same regional Santa Ana wind event). Analyst rubric score.</t>
        </r>
      </text>
    </comment>
    <comment ref="F12" authorId="0">
      <text>
        <r>
          <rPr>
            <sz val="10"/>
            <rFont val="Arial"/>
            <family val="2"/>
          </rPr>
          <t xml:space="preserve">L = 0.40: unified with Pacific Palisades because both sit in the same Very High FHSZ classification and were driven by the same regional wind event. Corrected from 0.88 (framework v2.0.0), which was inconsistent with L's definition as an annual probability. The two fires are differentiated through N, E and V instead. Analyst rubric score.</t>
        </r>
      </text>
    </comment>
    <comment ref="H11" authorId="0">
      <text>
        <r>
          <rPr>
            <sz val="10"/>
            <rFont val="Arial"/>
            <family val="2"/>
          </rPr>
          <t xml:space="preserve">E (used)=0.90: analyst rubric exposure, not E (log). The Jan 2025 Palisades Fire burned 23,448 acres and placed effectively the entire Pacific Palisades neighborhood under mandatory evacuation; 6,837 of an estimated ~9,300 neighborhood structures were destroyed and 973 damaged (CAL FIRE DINS; L.A. County Fire Dept./County of L.A. Eaton &amp; Palisades Fires Anniversary Fact Sheet, Jan 2026; Britannica, 'Los Angeles wildfires of 2025').</t>
        </r>
      </text>
    </comment>
    <comment ref="H12" authorId="0">
      <text>
        <r>
          <rPr>
            <sz val="10"/>
            <rFont val="Arial"/>
            <family val="2"/>
          </rPr>
          <t xml:space="preserve">E (used)=0.80: analyst rubric exposure. The Jan 2025 Eaton Fire burned 14,021 acres; 52,314 residents were placed under evacuation orders and a further 46,847 under evacuation warnings within 24 hours (Wikipedia 'Eaton Fire'); 9,414 of Altadena's structures were destroyed and 1,074 damaged (L.A. County Eaton &amp; Palisades Fires Anniversary Fact Sheet, Jan 2026) — west Altadena bore the heaviest exposure.</t>
        </r>
      </text>
    </comment>
    <comment ref="I11" authorId="0">
      <text>
        <r>
          <rPr>
            <sz val="10"/>
            <rFont val="Arial"/>
            <family val="2"/>
          </rPr>
          <t xml:space="preserve">V=0.40: Pacific Palisades has high household income (avg. individual income $135,206, U.S. Census/ACS) which raises adaptive capacity and lowers socio-economic vulnerability relative to lower-income comparator cities in this table, offset upward somewhat by an older median age (47) and a single -egress coastal road network.</t>
        </r>
      </text>
    </comment>
    <comment ref="I12" authorId="0">
      <text>
        <r>
          <rPr>
            <sz val="10"/>
            <rFont val="Arial"/>
            <family val="2"/>
          </rPr>
          <t xml:space="preserve">V=0.60: set higher than Pacific Palisades reflecting documented socio-economic vulnerability concentrated in West Altadena — historic redlining, a Black homeownership rate of ~75-81% concentrated nearest the fire perimeter, 45% of Black homeowners cost-burdened (&gt;30% of income on housing), and 21% of residents over age 65 vs. 15% county-wide (UCLA Center for Neighborhood Knowledge/Bunche Center data brief, Jan 2025; la.myneighborhooddata.org Eaton Fire Community Profile).</t>
        </r>
      </text>
    </comment>
    <comment ref="J11" authorId="0">
      <text>
        <r>
          <rPr>
            <sz val="10"/>
            <rFont val="Arial"/>
            <family val="2"/>
          </rPr>
          <t xml:space="preserve">rho now=0.20: pre-event resilience/readiness scored low because the fire exposed major infrastructure and continuity failures — the 117-million-gallon Santa Ynez Reservoir was offline for repairs and hydrants ran dry during peak demand (LADWP after-action reporting, Jan 2025), consistent with Marolla's RMTrl dimension (ICT/energy/water infrastructure quality).</t>
        </r>
      </text>
    </comment>
    <comment ref="J12" authorId="0">
      <text>
        <r>
          <rPr>
            <sz val="10"/>
            <rFont val="Arial"/>
            <family val="2"/>
          </rPr>
          <t xml:space="preserve">rho now = 0.20: unified with Pacific Palisades (same statewide policy and response environment); changed from 0.25 to match the v2.x reference code and its test_altadena reference values. Evidence of continuity gaps still applies under the RMTrl dimension: evacuation orders reached west Altadena hours later than east Altadena, and 18 of 19 confirmed deaths were west of Lake Avenue (LA Times reporting, via Wikipedia 'Eaton Fire').</t>
        </r>
      </text>
    </comment>
    <comment ref="K11" authorId="0">
      <text>
        <r>
          <rPr>
            <sz val="10"/>
            <rFont val="Arial"/>
            <family val="2"/>
          </rPr>
          <t xml:space="preserve">rho after = 0.35: partial post-fire resilience gain, target pathway not yet achieved. Corrected from 0.50 (framework v2.0.0). Per the 2026 SSRN Palisades policy-gap report's status matrix, only 2-3 of 7 identified structural policy gaps are enacted into law, and most enacted fixes are financial/claims-layer rather than the physical/operational gaps (fire monitoring, water infrastructure). R now and R after therefore both fall in Tier 2.</t>
        </r>
      </text>
    </comment>
    <comment ref="K12" authorId="0">
      <text>
        <r>
          <rPr>
            <sz val="10"/>
            <rFont val="Arial"/>
            <family val="2"/>
          </rPr>
          <t xml:space="preserve">rho after = 0.35: unified with Pacific Palisades (shared statewide policy response); target pathway, not yet achieved. Corrected from 0.45 (framework v2.0.0). Measures considered: targeted rebuilding assistance, community land trust and anti-displacement protections, undergrounding utilities, improved county alert protocols.</t>
        </r>
      </text>
    </comment>
    <comment ref="L11" authorId="0">
      <text>
        <r>
          <rPr>
            <sz val="10"/>
            <rFont val="Arial"/>
            <family val="2"/>
          </rPr>
          <t xml:space="preserve">C=4 (Major, 50,000-1,000,000 people affected): ~105,000 residents were placed under evacuation orders across the Palisades Fire footprint (Wikipedia 'Palisades Fire' infobox, citing county evacuation data), which maps to the Major band on the Reference-sheet consequence scale.</t>
        </r>
      </text>
    </comment>
    <comment ref="L12" authorId="0">
      <text>
        <r>
          <rPr>
            <sz val="10"/>
            <rFont val="Arial"/>
            <family val="2"/>
          </rPr>
          <t xml:space="preserve">C=4 (Major, 50,000-1,000,000 people affected): ~99,000 residents were under evacuation order or warning during the Eaton Fire (Wikipedia 'Eaton Fire' incident timeline), which maps to the Major band on the Reference-sheet consequence scale.</t>
        </r>
      </text>
    </comment>
  </commentList>
</comments>
</file>

<file path=xl/sharedStrings.xml><?xml version="1.0" encoding="utf-8"?>
<sst xmlns="http://schemas.openxmlformats.org/spreadsheetml/2006/main" count="244" uniqueCount="214">
  <si>
    <t xml:space="preserve">ENVR E-241  ·  Risk by Design</t>
  </si>
  <si>
    <t xml:space="preserve">RMTI Calculator  ·  v2.3.0 time-indexed</t>
  </si>
  <si>
    <t xml:space="preserve">Risk Mechanism Theory Index — a single, decision-ready score to assess, quantify and treat urban climate risk.</t>
  </si>
  <si>
    <t xml:space="preserve">The model at a glance</t>
  </si>
  <si>
    <t xml:space="preserve">Core score</t>
  </si>
  <si>
    <t xml:space="preserve">R = Σ  w·L·E·V·(1−ρ)        — exposure &amp; vulnerability raise R; resilience lowers it</t>
  </si>
  <si>
    <t xml:space="preserve">Severity layer</t>
  </si>
  <si>
    <t xml:space="preserve">EAL = Σ  L·C·(1−ρ)          — carries likelihood × consequence into expected loss</t>
  </si>
  <si>
    <t xml:space="preserve">Exposure from N</t>
  </si>
  <si>
    <t xml:space="preserve">E = [log₁₀(N) − log₁₀(Nₘᵢₙ)] / [log₁₀(Nₘₐₓ) − log₁₀(Nₘᵢₙ)],  anchors Nₘᵢₙ=10, Nₘₐₓ=20,000,000</t>
  </si>
  <si>
    <t xml:space="preserve">Per-capita lens</t>
  </si>
  <si>
    <t xml:space="preserve">rate = EAL ÷ population      — reported alongside R for equity</t>
  </si>
  <si>
    <t xml:space="preserve">Fixed tiers</t>
  </si>
  <si>
    <t xml:space="preserve">1 Low &lt;0.05 · 2 Moderate 0.05–0.15 · 3 High 0.15–0.35 · 4 Severe 0.35–0.60 · 5 Critical ≥0.60</t>
  </si>
  <si>
    <t xml:space="preserve">What's inside</t>
  </si>
  <si>
    <t xml:space="preserve">•  How to Use — step-by-step input guide and a worked walk-through (Lilongwe).</t>
  </si>
  <si>
    <t xml:space="preserve">•  RMTI Calculator — all cases in one continuous, auto-calculating table; add your own cities at the foot.</t>
  </si>
  <si>
    <t xml:space="preserve">•  Reference — fixed tiers, consequence scale, exposure anchors and the Table 9.4 indicator backbone.</t>
  </si>
  <si>
    <t xml:space="preserve">•  Trajectory — experimental time-indexed V(t) and ρ(t) per annual review cycle, with two synthetic examples (not validated).</t>
  </si>
  <si>
    <t xml:space="preserve">© 2025–2026 Cesar Marolla. The Risk Mechanism Theory Index (RMTI) was developed for ENVR E-241 Risk by Design. Licensed under the Apache License, Version 2.0 (see LICENSE and NOTICE in the repository). Copyright 2026 Cesar Marolla (ORCID 0000-0001-8498-7380). Provided "as is", without warranty.</t>
  </si>
  <si>
    <t xml:space="preserve">How to use the RMTI Calculator</t>
  </si>
  <si>
    <t xml:space="preserve">Type into the warm-shaded (blue-text) cells only. Everything else recalculates automatically.</t>
  </si>
  <si>
    <t xml:space="preserve">Step 1 — Enter the inputs (warm cells)</t>
  </si>
  <si>
    <t xml:space="preserve">Population N</t>
  </si>
  <si>
    <t xml:space="preserve">Beneficiaries or people in the hazard footprint. Drives the log-exposure helper column E (log).</t>
  </si>
  <si>
    <t xml:space="preserve">L · Likelihood</t>
  </si>
  <si>
    <t xml:space="preserve">Annual probability the hazard materially strikes the asset, on 0–1 (1–5 band midpoints).</t>
  </si>
  <si>
    <t xml:space="preserve">E · Exposure (used)</t>
  </si>
  <si>
    <t xml:space="preserve">Share of people/assets in harm's way, 0–1. Tip: copy the E (log) helper value, or enter your own rubric value.</t>
  </si>
  <si>
    <t xml:space="preserve">V · Vulnerability</t>
  </si>
  <si>
    <t xml:space="preserve">Sensitivity given adaptive capacity (housing, utilities, services), 0–1.</t>
  </si>
  <si>
    <t xml:space="preserve">ρ now / ρ after</t>
  </si>
  <si>
    <t xml:space="preserve">Resilience (coping capacity) before and after the adaptation package, 0–1. Enters as (1−ρ).</t>
  </si>
  <si>
    <t xml:space="preserve">C · Consequence (1–5)</t>
  </si>
  <si>
    <t xml:space="preserve">Severity of a failure: 1 Insignificant · 2 Minor · 3 Moderate · 4 Major · 5 Severe. Maps to 0–1 for EAL.</t>
  </si>
  <si>
    <t xml:space="preserve">Step 2 — Read the results (auto-calculated)</t>
  </si>
  <si>
    <t xml:space="preserve">Inherent risk</t>
  </si>
  <si>
    <t xml:space="preserve">L · E · V — risk before resilience is applied.</t>
  </si>
  <si>
    <t xml:space="preserve">R now / R after</t>
  </si>
  <si>
    <t xml:space="preserve">Inherent × (1−ρ). The decision score, bounded 0–1.</t>
  </si>
  <si>
    <t xml:space="preserve">Tier</t>
  </si>
  <si>
    <t xml:space="preserve">Maps R to the fixed 1–5 band — same thresholds for every city, every year.</t>
  </si>
  <si>
    <t xml:space="preserve">Δ risk %</t>
  </si>
  <si>
    <t xml:space="preserve">Percentage cut in R from the resilience investment.</t>
  </si>
  <si>
    <t xml:space="preserve">EAL index</t>
  </si>
  <si>
    <t xml:space="preserve">L · C · (1−ρ) — expected-loss index that carries severity through.</t>
  </si>
  <si>
    <t xml:space="preserve">Per-capita</t>
  </si>
  <si>
    <t xml:space="preserve">EAL ÷ population (shown per 1,000,000 residents) — the equity lens.</t>
  </si>
  <si>
    <t xml:space="preserve">Step 3 — Add your own city</t>
  </si>
  <si>
    <t xml:space="preserve">Type a new city into the first empty row beneath the populated ones. Formulas in the grey result columns are already in place and will calculate as soon as you enter N, L, E, V and ρ. Leave ρ after blank if you are only scoring the current state.</t>
  </si>
  <si>
    <t xml:space="preserve">Worked walk-through — Lilongwe, Malawi</t>
  </si>
  <si>
    <t xml:space="preserve">•  N = 1,100,000  →  E (log) = (log₁₀(1,100,000) − 1) / (log₁₀(20,000,000) − 1) = 5.0414 / 6.3010 = 0.80</t>
  </si>
  <si>
    <t xml:space="preserve">•  Inherent = L · E · V = 0.875 · 0.80 · 0.80 = 0.56</t>
  </si>
  <si>
    <t xml:space="preserve">•  R now = 0.56 · (1 − 0.25) = 0.42  →  Tier 4 · Severe  (resilience shields only 25% of inherent risk)</t>
  </si>
  <si>
    <t xml:space="preserve">•  R after = 0.56 · (1 − 0.48) = 0.29  →  Tier 3 · High  (target pathway ρ 0.43–0.53 by 2027–2030)</t>
  </si>
  <si>
    <t xml:space="preserve">Reference tables</t>
  </si>
  <si>
    <t xml:space="preserve">Exposure anchors</t>
  </si>
  <si>
    <t xml:space="preserve">Nmin</t>
  </si>
  <si>
    <t xml:space="preserve">smallest viable scheme (people)</t>
  </si>
  <si>
    <t xml:space="preserve">Nmax</t>
  </si>
  <si>
    <t xml:space="preserve">largest metro ceiling (people)</t>
  </si>
  <si>
    <t xml:space="preserve">Fixed scoring tiers</t>
  </si>
  <si>
    <t xml:space="preserve">R band</t>
  </si>
  <si>
    <t xml:space="preserve">Posture</t>
  </si>
  <si>
    <t xml:space="preserve">1 · Low</t>
  </si>
  <si>
    <t xml:space="preserve">R &lt; 0.05</t>
  </si>
  <si>
    <t xml:space="preserve">Monitor; maintain baseline</t>
  </si>
  <si>
    <t xml:space="preserve">2 · Moderate</t>
  </si>
  <si>
    <t xml:space="preserve">0.05 – 0.15</t>
  </si>
  <si>
    <t xml:space="preserve">Low-regret preventive measures</t>
  </si>
  <si>
    <t xml:space="preserve">3 · High</t>
  </si>
  <si>
    <t xml:space="preserve">0.15 – 0.35</t>
  </si>
  <si>
    <t xml:space="preserve">Structured mitigation; fund soon</t>
  </si>
  <si>
    <t xml:space="preserve">4 · Severe</t>
  </si>
  <si>
    <t xml:space="preserve">0.35 – 0.60</t>
  </si>
  <si>
    <t xml:space="preserve">Priority capital; act now</t>
  </si>
  <si>
    <t xml:space="preserve">5 · Critical</t>
  </si>
  <si>
    <t xml:space="preserve">R ≥ 0.60</t>
  </si>
  <si>
    <t xml:space="preserve">Immediate, system-level response</t>
  </si>
  <si>
    <t xml:space="preserve">Consequence scale (C)</t>
  </si>
  <si>
    <t xml:space="preserve">Score</t>
  </si>
  <si>
    <t xml:space="preserve">Severity → 0–1</t>
  </si>
  <si>
    <t xml:space="preserve">People affected</t>
  </si>
  <si>
    <t xml:space="preserve">1 · Insignificant</t>
  </si>
  <si>
    <t xml:space="preserve">0.10</t>
  </si>
  <si>
    <t xml:space="preserve">&lt; 50</t>
  </si>
  <si>
    <t xml:space="preserve">2 · Minor</t>
  </si>
  <si>
    <t xml:space="preserve">0.30</t>
  </si>
  <si>
    <t xml:space="preserve">50 – 500</t>
  </si>
  <si>
    <t xml:space="preserve">3 · Moderate</t>
  </si>
  <si>
    <t xml:space="preserve">0.50</t>
  </si>
  <si>
    <t xml:space="preserve">500 – 50,000</t>
  </si>
  <si>
    <t xml:space="preserve">4 · Major</t>
  </si>
  <si>
    <t xml:space="preserve">0.75</t>
  </si>
  <si>
    <t xml:space="preserve">50,000 – 1,000,000</t>
  </si>
  <si>
    <t xml:space="preserve">5 · Severe</t>
  </si>
  <si>
    <t xml:space="preserve">1.00</t>
  </si>
  <si>
    <t xml:space="preserve">&gt; 1,000,000</t>
  </si>
  <si>
    <t xml:space="preserve">Table 9.4 — indicator backbone</t>
  </si>
  <si>
    <t xml:space="preserve">RMTre → E  (raises R)</t>
  </si>
  <si>
    <t xml:space="preserve">RMTseen → V  (raises R)</t>
  </si>
  <si>
    <t xml:space="preserve">RMTrl → ρ  (lowers R)</t>
  </si>
  <si>
    <t xml:space="preserve">•  Natural &amp; man-made disasters; climate change</t>
  </si>
  <si>
    <t xml:space="preserve">•  Fiscal stability; inequality &amp; wealth distribution</t>
  </si>
  <si>
    <t xml:space="preserve">•  Risk-management strategy; business continuity</t>
  </si>
  <si>
    <t xml:space="preserve">•  Health hazards; pandemics; food &amp; water scarcity</t>
  </si>
  <si>
    <t xml:space="preserve">•  Control of corruption; rule of law; governance</t>
  </si>
  <si>
    <t xml:space="preserve">•  ICT, energy &amp; urban infrastructure quality</t>
  </si>
  <si>
    <t xml:space="preserve">•  Accelerated urbanism; population growth</t>
  </si>
  <si>
    <t xml:space="preserve">•  Environmental pollution; land degradation</t>
  </si>
  <si>
    <t xml:space="preserve">•  Hospital capacity; health care; water/food security</t>
  </si>
  <si>
    <t xml:space="preserve">•  Inherent cyber-risk; obsolete ICT</t>
  </si>
  <si>
    <t xml:space="preserve">•  Poverty indices; GDP per capita; institutions</t>
  </si>
  <si>
    <t xml:space="preserve">•  Renewable energy; demand rationing; recycling</t>
  </si>
  <si>
    <t xml:space="preserve">RMTI Calculator — assess · quantify · treat</t>
  </si>
  <si>
    <t xml:space="preserve">ENVR E-241  ·  Risk by Design      ·      Inputs are the warm/blue cells; grey columns auto-calculate. E (log) is derived from N — copy it into E (used) for an audited, population-based score.</t>
  </si>
  <si>
    <t xml:space="preserve">▶ You type here</t>
  </si>
  <si>
    <t xml:space="preserve">Auto-calculates</t>
  </si>
  <si>
    <t xml:space="preserve">New analysis</t>
  </si>
  <si>
    <t xml:space="preserve">City</t>
  </si>
  <si>
    <t xml:space="preserve">Country</t>
  </si>
  <si>
    <t xml:space="preserve">Set</t>
  </si>
  <si>
    <t xml:space="preserve">Hazard (h)</t>
  </si>
  <si>
    <t xml:space="preserve">L</t>
  </si>
  <si>
    <t xml:space="preserve">E (log)</t>
  </si>
  <si>
    <t xml:space="preserve">E (used)</t>
  </si>
  <si>
    <t xml:space="preserve">V</t>
  </si>
  <si>
    <t xml:space="preserve">ρ now</t>
  </si>
  <si>
    <t xml:space="preserve">ρ after</t>
  </si>
  <si>
    <t xml:space="preserve">C (1–5)
← Analyst rubric score
(enter 1–5)</t>
  </si>
  <si>
    <t xml:space="preserve">C (0–1)
← Auto-converted
for R formula</t>
  </si>
  <si>
    <t xml:space="preserve">Inherent
L·E·V</t>
  </si>
  <si>
    <t xml:space="preserve">R now</t>
  </si>
  <si>
    <t xml:space="preserve">Tier now</t>
  </si>
  <si>
    <t xml:space="preserve">R after</t>
  </si>
  <si>
    <t xml:space="preserve">Tier after</t>
  </si>
  <si>
    <t xml:space="preserve">Δ risk</t>
  </si>
  <si>
    <t xml:space="preserve">EAL now</t>
  </si>
  <si>
    <t xml:space="preserve">EAL after</t>
  </si>
  <si>
    <t xml:space="preserve">Per-capita now
(/1M)</t>
  </si>
  <si>
    <t xml:space="preserve">Priority
(in tier)</t>
  </si>
  <si>
    <t xml:space="preserve">Per-capita after
(/1M)</t>
  </si>
  <si>
    <t xml:space="preserve">Priority after
(in tier)</t>
  </si>
  <si>
    <t xml:space="preserve">Investment
Efficiency
Index (IEI)</t>
  </si>
  <si>
    <t xml:space="preserve">Bamako</t>
  </si>
  <si>
    <t xml:space="preserve">Mali</t>
  </si>
  <si>
    <t xml:space="preserve">Worked example</t>
  </si>
  <si>
    <t xml:space="preserve">Drought · flood · heat</t>
  </si>
  <si>
    <t xml:space="preserve">Lagos</t>
  </si>
  <si>
    <t xml:space="preserve">Nigeria</t>
  </si>
  <si>
    <t xml:space="preserve">Coastal &amp; pluvial flood</t>
  </si>
  <si>
    <t xml:space="preserve">Lilongwe ★</t>
  </si>
  <si>
    <t xml:space="preserve">Malawi</t>
  </si>
  <si>
    <t xml:space="preserve">Pluvial · river flood</t>
  </si>
  <si>
    <t xml:space="preserve">Nairobi</t>
  </si>
  <si>
    <t xml:space="preserve">Kenya</t>
  </si>
  <si>
    <t xml:space="preserve">Comparator</t>
  </si>
  <si>
    <t xml:space="preserve">Pluvial flood</t>
  </si>
  <si>
    <t xml:space="preserve">Dar es Salaam</t>
  </si>
  <si>
    <t xml:space="preserve">Tanzania</t>
  </si>
  <si>
    <t xml:space="preserve">Coastal flood</t>
  </si>
  <si>
    <t xml:space="preserve">Lusaka</t>
  </si>
  <si>
    <t xml:space="preserve">Zambia</t>
  </si>
  <si>
    <t xml:space="preserve">Flood · cholera</t>
  </si>
  <si>
    <t xml:space="preserve">Pacific Palisades</t>
  </si>
  <si>
    <t xml:space="preserve">USA</t>
  </si>
  <si>
    <t xml:space="preserve">2025 case study</t>
  </si>
  <si>
    <t xml:space="preserve">Wildfire (WUI) — Palisades Fire, Jan 2025</t>
  </si>
  <si>
    <t xml:space="preserve">Altadena</t>
  </si>
  <si>
    <t xml:space="preserve">Wildfire (WUI) — Eaton Fire, Jan 2025</t>
  </si>
  <si>
    <t xml:space="preserve">Notes:  Worked examples use each case's published rubric exposure (E used).  E (log) shows the population-derived value for comparison — for Lagos this is ≈0.98 vs 0.65 used.  Comparator rows carry illustrative inputs; R is recomputed uniformly as L·E·V·(1−ρ), correcting arithmetic in the source comparison table.  Comparator ρ after values (Nairobi 0.65, Dar es Salaam 0.70, Lusaka 0.60) match the RMTI-Py cohort (Tables 4–6).  C (1–5) is the analyst rubric score you enter (1 = Insignificant → 5 = Severe).  C (0–1) is the auto-converted value the formula uses: 1→0.10, 2→0.30, 3→0.50, 4→0.75, 5→1.00 — do not edit column M.  |  NEW COLUMNS (X–Z):  Per-capita after = EAL after ÷ N × 1 000 000 — equity lens post-investment.  Priority after = rank by EAL after within the post-investment tier group (resets per tier; same method as Priority now).  Investment Efficiency Index (IEI) = Δ risk ÷ (1 − ρ after) — measures how much risk reduction is achieved per unit of residual exposure retained. IEI &gt; 1 means the intervention is highly leveraged; IEI near 0 means ρ after is high but risk barely moved.</t>
  </si>
  <si>
    <t xml:space="preserve">Trajectory — time-indexed V(t) and ρ(t)   (experimental extension, not in the published RMTI papers)</t>
  </si>
  <si>
    <t xml:space="preserve">Warm cells with blue text are inputs; grey cells calculate. One row per annual review cycle, filled in order from t = 0; leave unused trailing rows blank. Both example cities are SYNTHETIC. Research prototype: not validated; every parameter below is an uncalibrated placeholder.</t>
  </si>
  <si>
    <t xml:space="preserve">Model parameters (shared by both blocks)</t>
  </si>
  <si>
    <t xml:space="preserve">v_lo — V at indicator = 0</t>
  </si>
  <si>
    <t xml:space="preserve">Placeholder anchor (copied from the HCC ALBI grade-1 anchor). Replace with a value justified for your hazard and portfolio.</t>
  </si>
  <si>
    <t xml:space="preserve">v_hi — V at indicator = y_max</t>
  </si>
  <si>
    <t xml:space="preserve">Placeholder anchor (copied from the HCC ALBI grade-3 anchor).</t>
  </si>
  <si>
    <t xml:space="preserve">y_max</t>
  </si>
  <si>
    <t xml:space="preserve">Top of the composite vulnerability-indicator scale (Table 9.4 RMTseen indicators scored 0–y_max, higher = more vulnerable). Placeholder 10.</t>
  </si>
  <si>
    <t xml:space="preserve">α — level gain</t>
  </si>
  <si>
    <t xml:space="preserve">Steady-state Kalman gain for noise settings q_level 0.05, q_slope 0.01, r_obs 0.8 (RMTI-Py steady_state_gains). Uncalibrated.</t>
  </si>
  <si>
    <t xml:space="preserve">β — slope gain</t>
  </si>
  <si>
    <t xml:space="preserve">Steady-state Kalman slope gain, same settings. Uncalibrated.</t>
  </si>
  <si>
    <t xml:space="preserve">κ·H — look-ahead (cycles)</t>
  </si>
  <si>
    <t xml:space="preserve">Weight on the slope in V*(t). Uncalibrated; the synthetic comparison in the PDF used 2.0.</t>
  </si>
  <si>
    <t xml:space="preserve">λ — delivery → ρ</t>
  </si>
  <si>
    <t xml:space="preserve">ρ(t) = ρ(t−1) + λ·ΔDelivery. Placeholder. Must be estimated from real programme-delivery data.</t>
  </si>
  <si>
    <t xml:space="preserve">ρ ceiling</t>
  </si>
  <si>
    <t xml:space="preserve">Modeling ceiling (core rejects ρ ≥ 1).</t>
  </si>
  <si>
    <t xml:space="preserve">Filter on (1) / off (0)</t>
  </si>
  <si>
    <t xml:space="preserve">0 = use the observed indicator directly (memoryless). 1 = use filtered level + κ·H × slope.</t>
  </si>
  <si>
    <t xml:space="preserve">Synthetic example T-A — vulnerability indicator falling, programme delivery rising</t>
  </si>
  <si>
    <t xml:space="preserve">L — likelihood</t>
  </si>
  <si>
    <t xml:space="preserve">E — exposure</t>
  </si>
  <si>
    <t xml:space="preserve">C — consequence (1–5), shown for EAL only</t>
  </si>
  <si>
    <t xml:space="preserve">ρ at t = 0</t>
  </si>
  <si>
    <t xml:space="preserve">Cycle t</t>
  </si>
  <si>
    <t xml:space="preserve">Indicator observed (0–y_max)</t>
  </si>
  <si>
    <t xml:space="preserve">Delivery (0–1)</t>
  </si>
  <si>
    <t xml:space="preserve">Indicator level (filtered)</t>
  </si>
  <si>
    <t xml:space="preserve">Indicator slope / cycle</t>
  </si>
  <si>
    <t xml:space="preserve">V*(t)</t>
  </si>
  <si>
    <t xml:space="preserve">ρ(t)</t>
  </si>
  <si>
    <t xml:space="preserve">R(t)</t>
  </si>
  <si>
    <t xml:space="preserve">ΔR vs previous</t>
  </si>
  <si>
    <t xml:space="preserve">Synthetic example T-B — vulnerability indicator rising, delivery flat</t>
  </si>
  <si>
    <t xml:space="preserve">Notes</t>
  </si>
  <si>
    <t xml:space="preserve">How to read it. With the filter OFF (cell B13 = 0) V(t) is the memoryless map of the observed indicator, so the sheet is a snapshot repeated each cycle. With it ON, V*(t) uses the filtered level plus κ·H × slope, so one noisy review moves the score less.</t>
  </si>
  <si>
    <t xml:space="preserve">A missed review: leave the indicator blank and keep the delivery entry; the filter carries its prediction forward. Do not leave a blank row between filled rows.</t>
  </si>
  <si>
    <t xml:space="preserve">Tier and posture use the same fixed Table 3 bands as the RMTI Calculator (Reference tab). R is rounded to 12 dp before lookup.</t>
  </si>
  <si>
    <t xml:space="preserve">Status: α, β, κ·H, λ and the V anchors are uncalibrated placeholders; the disaster-domain mapping (indicator → V, delivery → ρ) is an extension proposed in this repository, not a result of the published papers. Not validated.</t>
  </si>
  <si>
    <t xml:space="preserve">Not included: a time-varying L(t) and exposure E(t); add them once calibration data exist.</t>
  </si>
  <si>
    <t xml:space="preserve">Licence: Apache License 2.0 (see LICENSE and NOTICE). Copyright 2026 Cesar Marolla.</t>
  </si>
</sst>
</file>

<file path=xl/styles.xml><?xml version="1.0" encoding="utf-8"?>
<styleSheet xmlns="http://schemas.openxmlformats.org/spreadsheetml/2006/main">
  <numFmts count="8">
    <numFmt numFmtId="164" formatCode="General"/>
    <numFmt numFmtId="165" formatCode="#,##0"/>
    <numFmt numFmtId="166" formatCode="0.000"/>
    <numFmt numFmtId="167" formatCode="0"/>
    <numFmt numFmtId="168" formatCode="0.0%"/>
    <numFmt numFmtId="169" formatCode="0.00"/>
    <numFmt numFmtId="170" formatCode="0.0"/>
    <numFmt numFmtId="171" formatCode="\+0.000;\-0.000;0.000"/>
  </numFmts>
  <fonts count="38">
    <font>
      <sz val="11"/>
      <color theme="1"/>
      <name val="Calibri"/>
      <family val="2"/>
      <charset val="1"/>
    </font>
    <font>
      <sz val="10"/>
      <name val="Arial"/>
      <family val="0"/>
    </font>
    <font>
      <sz val="10"/>
      <name val="Arial"/>
      <family val="0"/>
    </font>
    <font>
      <sz val="10"/>
      <name val="Arial"/>
      <family val="0"/>
    </font>
    <font>
      <b val="true"/>
      <sz val="11"/>
      <color rgb="FF1C7C6C"/>
      <name val="Calibri"/>
      <family val="0"/>
      <charset val="1"/>
    </font>
    <font>
      <b val="true"/>
      <sz val="40"/>
      <color rgb="FF14463C"/>
      <name val="Calibri"/>
      <family val="0"/>
      <charset val="1"/>
    </font>
    <font>
      <sz val="13"/>
      <color rgb="FF6B7B74"/>
      <name val="Calibri"/>
      <family val="0"/>
      <charset val="1"/>
    </font>
    <font>
      <b val="true"/>
      <sz val="13"/>
      <color rgb="FF14463C"/>
      <name val="Calibri"/>
      <family val="0"/>
      <charset val="1"/>
    </font>
    <font>
      <sz val="11"/>
      <color rgb="FF1F2A26"/>
      <name val="Calibri"/>
      <family val="0"/>
      <charset val="1"/>
    </font>
    <font>
      <i val="true"/>
      <sz val="9.5"/>
      <color rgb="FF6B7B74"/>
      <name val="Calibri"/>
      <family val="0"/>
      <charset val="1"/>
    </font>
    <font>
      <b val="true"/>
      <sz val="10"/>
      <color rgb="FF1C7C6C"/>
      <name val="Calibri"/>
      <family val="0"/>
      <charset val="1"/>
    </font>
    <font>
      <b val="true"/>
      <sz val="22"/>
      <color rgb="FF14463C"/>
      <name val="Calibri"/>
      <family val="0"/>
      <charset val="1"/>
    </font>
    <font>
      <sz val="11"/>
      <color rgb="FF6B7B74"/>
      <name val="Calibri"/>
      <family val="0"/>
      <charset val="1"/>
    </font>
    <font>
      <sz val="10"/>
      <color rgb="FF6B7B74"/>
      <name val="Calibri"/>
      <family val="0"/>
      <charset val="1"/>
    </font>
    <font>
      <b val="true"/>
      <sz val="11"/>
      <color rgb="FFFFFFFF"/>
      <name val="Calibri"/>
      <family val="0"/>
      <charset val="1"/>
    </font>
    <font>
      <b val="true"/>
      <sz val="11"/>
      <color rgb="FF1F2A26"/>
      <name val="Calibri"/>
      <family val="0"/>
      <charset val="1"/>
    </font>
    <font>
      <b val="true"/>
      <sz val="10.5"/>
      <color rgb="FFFFFFFF"/>
      <name val="Calibri"/>
      <family val="0"/>
      <charset val="1"/>
    </font>
    <font>
      <sz val="10"/>
      <color rgb="FF1F2A26"/>
      <name val="Calibri"/>
      <family val="0"/>
      <charset val="1"/>
    </font>
    <font>
      <b val="true"/>
      <sz val="18"/>
      <color rgb="FF14463C"/>
      <name val="Calibri"/>
      <family val="0"/>
      <charset val="1"/>
    </font>
    <font>
      <sz val="9.5"/>
      <color rgb="FF6B7B74"/>
      <name val="Calibri"/>
      <family val="0"/>
      <charset val="1"/>
    </font>
    <font>
      <b val="true"/>
      <sz val="8"/>
      <color rgb="FF1D6348"/>
      <name val="Calibri"/>
      <family val="0"/>
      <charset val="1"/>
    </font>
    <font>
      <b val="true"/>
      <sz val="8"/>
      <color rgb="FF1D456B"/>
      <name val="Calibri"/>
      <family val="0"/>
      <charset val="1"/>
    </font>
    <font>
      <i val="true"/>
      <sz val="8"/>
      <color rgb="FF1F2A26"/>
      <name val="Arial"/>
      <family val="0"/>
      <charset val="1"/>
    </font>
    <font>
      <b val="true"/>
      <sz val="9.5"/>
      <color rgb="FFFFFFFF"/>
      <name val="Calibri"/>
      <family val="0"/>
      <charset val="1"/>
    </font>
    <font>
      <b val="true"/>
      <sz val="8"/>
      <color rgb="FFFFFFFF"/>
      <name val="Calibri"/>
      <family val="0"/>
      <charset val="1"/>
    </font>
    <font>
      <b val="true"/>
      <sz val="9"/>
      <color rgb="FFFFFFFF"/>
      <name val="Arial"/>
      <family val="0"/>
      <charset val="1"/>
    </font>
    <font>
      <sz val="10"/>
      <color rgb="FF0000FF"/>
      <name val="Calibri"/>
      <family val="0"/>
      <charset val="1"/>
    </font>
    <font>
      <sz val="9"/>
      <color rgb="FF1F2A26"/>
      <name val="Arial"/>
      <family val="0"/>
      <charset val="1"/>
    </font>
    <font>
      <sz val="9"/>
      <color rgb="FF4A235A"/>
      <name val="Arial"/>
      <family val="0"/>
      <charset val="1"/>
    </font>
    <font>
      <b val="true"/>
      <sz val="10"/>
      <color rgb="FFC0492B"/>
      <name val="Calibri"/>
      <family val="0"/>
      <charset val="1"/>
    </font>
    <font>
      <sz val="9"/>
      <color rgb="FF6B7B74"/>
      <name val="Calibri"/>
      <family val="0"/>
      <charset val="1"/>
    </font>
    <font>
      <i val="true"/>
      <sz val="8.5"/>
      <color rgb="FF6B7B74"/>
      <name val="Calibri"/>
      <family val="0"/>
      <charset val="1"/>
    </font>
    <font>
      <sz val="10"/>
      <name val="Arial"/>
      <family val="2"/>
    </font>
    <font>
      <b val="true"/>
      <sz val="11"/>
      <color rgb="FF14463C"/>
      <name val="Calibri"/>
      <family val="0"/>
      <charset val="1"/>
    </font>
    <font>
      <b val="true"/>
      <sz val="10.5"/>
      <color rgb="FF1F2A26"/>
      <name val="Calibri"/>
      <family val="0"/>
      <charset val="1"/>
    </font>
    <font>
      <sz val="10.5"/>
      <color rgb="FF0000FF"/>
      <name val="Calibri"/>
      <family val="0"/>
      <charset val="1"/>
    </font>
    <font>
      <sz val="10.5"/>
      <color rgb="FF1F2A26"/>
      <name val="Calibri"/>
      <family val="0"/>
      <charset val="1"/>
    </font>
    <font>
      <b val="true"/>
      <sz val="10"/>
      <color rgb="FFFFFFFF"/>
      <name val="Calibri"/>
      <family val="0"/>
      <charset val="1"/>
    </font>
  </fonts>
  <fills count="23">
    <fill>
      <patternFill patternType="none"/>
    </fill>
    <fill>
      <patternFill patternType="gray125"/>
    </fill>
    <fill>
      <patternFill patternType="solid">
        <fgColor rgb="FFFFFFFF"/>
        <bgColor rgb="FFF4F7F5"/>
      </patternFill>
    </fill>
    <fill>
      <patternFill patternType="solid">
        <fgColor rgb="FFEAF1EE"/>
        <bgColor rgb="FFF0F2F1"/>
      </patternFill>
    </fill>
    <fill>
      <patternFill patternType="solid">
        <fgColor rgb="FFF4F7F5"/>
        <bgColor rgb="FFF0F2F1"/>
      </patternFill>
    </fill>
    <fill>
      <patternFill patternType="solid">
        <fgColor rgb="FF14463C"/>
        <bgColor rgb="FF1A3A5C"/>
      </patternFill>
    </fill>
    <fill>
      <patternFill patternType="solid">
        <fgColor rgb="FFCDE3D8"/>
        <bgColor rgb="FFC9D6D0"/>
      </patternFill>
    </fill>
    <fill>
      <patternFill patternType="solid">
        <fgColor rgb="FFF3E2A9"/>
        <bgColor rgb="FFF6CDA6"/>
      </patternFill>
    </fill>
    <fill>
      <patternFill patternType="solid">
        <fgColor rgb="FFF6CDA6"/>
        <bgColor rgb="FFF3E2A9"/>
      </patternFill>
    </fill>
    <fill>
      <patternFill patternType="solid">
        <fgColor rgb="FFEBB1A0"/>
        <bgColor rgb="FFF6CDA6"/>
      </patternFill>
    </fill>
    <fill>
      <patternFill patternType="solid">
        <fgColor rgb="FFD98C7C"/>
        <bgColor rgb="FFEBB1A0"/>
      </patternFill>
    </fill>
    <fill>
      <patternFill patternType="solid">
        <fgColor rgb="FF1C7C6C"/>
        <bgColor rgb="FF1D6348"/>
      </patternFill>
    </fill>
    <fill>
      <patternFill patternType="solid">
        <fgColor rgb="FFC0492B"/>
        <bgColor rgb="FF993366"/>
      </patternFill>
    </fill>
    <fill>
      <patternFill patternType="solid">
        <fgColor rgb="FFD6EFE6"/>
        <bgColor rgb="FFD6E8F5"/>
      </patternFill>
    </fill>
    <fill>
      <patternFill patternType="solid">
        <fgColor rgb="FFD6E8F5"/>
        <bgColor rgb="FFD6EFE6"/>
      </patternFill>
    </fill>
    <fill>
      <patternFill patternType="solid">
        <fgColor rgb="FF1A5C2E"/>
        <bgColor rgb="FF1D6348"/>
      </patternFill>
    </fill>
    <fill>
      <patternFill patternType="solid">
        <fgColor rgb="FF1A3A5C"/>
        <bgColor rgb="FF1D456B"/>
      </patternFill>
    </fill>
    <fill>
      <patternFill patternType="solid">
        <fgColor rgb="FF4A235A"/>
        <bgColor rgb="FF1F2A26"/>
      </patternFill>
    </fill>
    <fill>
      <patternFill patternType="solid">
        <fgColor rgb="FFFFF7E6"/>
        <bgColor rgb="FFF4F7F5"/>
      </patternFill>
    </fill>
    <fill>
      <patternFill patternType="solid">
        <fgColor rgb="FFE8F5E9"/>
        <bgColor rgb="FFEAF1EE"/>
      </patternFill>
    </fill>
    <fill>
      <patternFill patternType="solid">
        <fgColor rgb="FFE8F4FD"/>
        <bgColor rgb="FFEAF1EE"/>
      </patternFill>
    </fill>
    <fill>
      <patternFill patternType="solid">
        <fgColor rgb="FFF5F0FF"/>
        <bgColor rgb="FFF0F2F1"/>
      </patternFill>
    </fill>
    <fill>
      <patternFill patternType="solid">
        <fgColor rgb="FFF0F2F1"/>
        <bgColor rgb="FFEAF1EE"/>
      </patternFill>
    </fill>
  </fills>
  <borders count="6">
    <border diagonalUp="false" diagonalDown="false">
      <left/>
      <right/>
      <top/>
      <bottom/>
      <diagonal/>
    </border>
    <border diagonalUp="false" diagonalDown="false">
      <left style="thick">
        <color rgb="FFC0492B"/>
      </left>
      <right/>
      <top/>
      <bottom/>
      <diagonal/>
    </border>
    <border diagonalUp="false" diagonalDown="false">
      <left style="thin">
        <color rgb="FFC9D6D0"/>
      </left>
      <right style="thin">
        <color rgb="FFC9D6D0"/>
      </right>
      <top style="thin">
        <color rgb="FFC9D6D0"/>
      </top>
      <bottom style="thin">
        <color rgb="FFC9D6D0"/>
      </bottom>
      <diagonal/>
    </border>
    <border diagonalUp="false" diagonalDown="false">
      <left style="thin">
        <color rgb="FFC9D6D0"/>
      </left>
      <right/>
      <top style="thin">
        <color rgb="FFC9D6D0"/>
      </top>
      <bottom style="thin">
        <color rgb="FFC9D6D0"/>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C9D1CD"/>
      </left>
      <right style="thin">
        <color rgb="FFC9D1CD"/>
      </right>
      <top style="thin">
        <color rgb="FFC9D1CD"/>
      </top>
      <bottom style="thin">
        <color rgb="FFC9D1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left"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4" fontId="14" fillId="5" borderId="2" xfId="0" applyFont="true" applyBorder="true" applyAlignment="true" applyProtection="false">
      <alignment horizontal="center" vertical="center" textRotation="0" wrapText="false" indent="0" shrinkToFit="false"/>
      <protection locked="true" hidden="false"/>
    </xf>
    <xf numFmtId="164" fontId="15" fillId="6"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false" indent="0" shrinkToFit="false"/>
      <protection locked="true" hidden="false"/>
    </xf>
    <xf numFmtId="164" fontId="15" fillId="7" borderId="2" xfId="0" applyFont="true" applyBorder="true" applyAlignment="true" applyProtection="false">
      <alignment horizontal="center" vertical="center" textRotation="0" wrapText="false" indent="0" shrinkToFit="false"/>
      <protection locked="true" hidden="false"/>
    </xf>
    <xf numFmtId="164" fontId="15" fillId="8" borderId="2" xfId="0" applyFont="true" applyBorder="true" applyAlignment="true" applyProtection="false">
      <alignment horizontal="center"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false" indent="0" shrinkToFit="false"/>
      <protection locked="true" hidden="false"/>
    </xf>
    <xf numFmtId="164" fontId="15" fillId="10" borderId="2" xfId="0" applyFont="true" applyBorder="true" applyAlignment="true" applyProtection="false">
      <alignment horizontal="center" vertical="center" textRotation="0" wrapText="false" indent="0" shrinkToFit="false"/>
      <protection locked="true" hidden="false"/>
    </xf>
    <xf numFmtId="164" fontId="16" fillId="11" borderId="3" xfId="0" applyFont="true" applyBorder="true" applyAlignment="true" applyProtection="false">
      <alignment horizontal="center" vertical="center" textRotation="0" wrapText="true" indent="0" shrinkToFit="false"/>
      <protection locked="true" hidden="false"/>
    </xf>
    <xf numFmtId="164" fontId="16" fillId="12" borderId="3" xfId="0" applyFont="true" applyBorder="true" applyAlignment="true" applyProtection="false">
      <alignment horizontal="center" vertical="center" textRotation="0" wrapText="true" indent="0" shrinkToFit="false"/>
      <protection locked="true" hidden="false"/>
    </xf>
    <xf numFmtId="164" fontId="17" fillId="0" borderId="3"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false" indent="0" shrinkToFit="false"/>
      <protection locked="true" hidden="false"/>
    </xf>
    <xf numFmtId="164" fontId="20" fillId="13" borderId="0" xfId="0" applyFont="true" applyBorder="false" applyAlignment="true" applyProtection="false">
      <alignment horizontal="center" vertical="center" textRotation="0" wrapText="true" indent="0" shrinkToFit="false"/>
      <protection locked="true" hidden="false"/>
    </xf>
    <xf numFmtId="164" fontId="21" fillId="14"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3" fillId="5" borderId="2" xfId="0" applyFont="true" applyBorder="true" applyAlignment="true" applyProtection="false">
      <alignment horizontal="center" vertical="center" textRotation="0" wrapText="true" indent="0" shrinkToFit="false"/>
      <protection locked="true" hidden="false"/>
    </xf>
    <xf numFmtId="164" fontId="24" fillId="5" borderId="2" xfId="0" applyFont="true" applyBorder="true" applyAlignment="true" applyProtection="false">
      <alignment horizontal="center" vertical="center" textRotation="0" wrapText="true" indent="0" shrinkToFit="false"/>
      <protection locked="true" hidden="false"/>
    </xf>
    <xf numFmtId="164" fontId="25" fillId="15" borderId="4" xfId="0" applyFont="true" applyBorder="true" applyAlignment="true" applyProtection="false">
      <alignment horizontal="center" vertical="center" textRotation="0" wrapText="true" indent="0" shrinkToFit="false"/>
      <protection locked="true" hidden="false"/>
    </xf>
    <xf numFmtId="164" fontId="25" fillId="16" borderId="4" xfId="0" applyFont="true" applyBorder="true" applyAlignment="true" applyProtection="false">
      <alignment horizontal="center" vertical="center" textRotation="0" wrapText="true" indent="0" shrinkToFit="false"/>
      <protection locked="true" hidden="false"/>
    </xf>
    <xf numFmtId="164" fontId="25" fillId="17" borderId="4" xfId="0" applyFont="true" applyBorder="true" applyAlignment="true" applyProtection="false">
      <alignment horizontal="center" vertical="center" textRotation="0" wrapText="true" indent="0" shrinkToFit="false"/>
      <protection locked="true" hidden="false"/>
    </xf>
    <xf numFmtId="164" fontId="17" fillId="2" borderId="2" xfId="0" applyFont="true" applyBorder="true" applyAlignment="true" applyProtection="true">
      <alignment horizontal="left" vertical="center" textRotation="0" wrapText="false" indent="0" shrinkToFit="false"/>
      <protection locked="false" hidden="false"/>
    </xf>
    <xf numFmtId="164" fontId="17" fillId="2" borderId="2" xfId="0" applyFont="true" applyBorder="true" applyAlignment="true" applyProtection="true">
      <alignment horizontal="center" vertical="center" textRotation="0" wrapText="false" indent="0" shrinkToFit="false"/>
      <protection locked="false" hidden="false"/>
    </xf>
    <xf numFmtId="165" fontId="26" fillId="18" borderId="2" xfId="0" applyFont="true" applyBorder="true" applyAlignment="true" applyProtection="true">
      <alignment horizontal="center" vertical="center" textRotation="0" wrapText="false" indent="0" shrinkToFit="false"/>
      <protection locked="false" hidden="false"/>
    </xf>
    <xf numFmtId="166" fontId="26" fillId="18" borderId="2" xfId="0" applyFont="true" applyBorder="true" applyAlignment="true" applyProtection="true">
      <alignment horizontal="center" vertical="center" textRotation="0" wrapText="false" indent="0" shrinkToFit="false"/>
      <protection locked="false" hidden="false"/>
    </xf>
    <xf numFmtId="166" fontId="17" fillId="2" borderId="2" xfId="0" applyFont="true" applyBorder="true" applyAlignment="true" applyProtection="false">
      <alignment horizontal="center" vertical="center" textRotation="0" wrapText="false" indent="0" shrinkToFit="false"/>
      <protection locked="true" hidden="false"/>
    </xf>
    <xf numFmtId="167" fontId="26" fillId="18" borderId="2" xfId="0" applyFont="true" applyBorder="true" applyAlignment="true" applyProtection="true">
      <alignment horizontal="center" vertical="center" textRotation="0" wrapText="false" indent="0" shrinkToFit="false"/>
      <protection locked="false" hidden="false"/>
    </xf>
    <xf numFmtId="164" fontId="17" fillId="2" borderId="2" xfId="0" applyFont="true" applyBorder="true" applyAlignment="true" applyProtection="false">
      <alignment horizontal="center" vertical="center" textRotation="0" wrapText="false" indent="0" shrinkToFit="false"/>
      <protection locked="true" hidden="false"/>
    </xf>
    <xf numFmtId="168" fontId="17" fillId="2" borderId="2" xfId="0" applyFont="true" applyBorder="true" applyAlignment="true" applyProtection="false">
      <alignment horizontal="center" vertical="center" textRotation="0" wrapText="false" indent="0" shrinkToFit="false"/>
      <protection locked="true" hidden="false"/>
    </xf>
    <xf numFmtId="169" fontId="17" fillId="2" borderId="2" xfId="0" applyFont="true" applyBorder="true" applyAlignment="true" applyProtection="false">
      <alignment horizontal="center" vertical="center" textRotation="0" wrapText="false" indent="0" shrinkToFit="false"/>
      <protection locked="true" hidden="false"/>
    </xf>
    <xf numFmtId="167" fontId="17" fillId="2" borderId="2" xfId="0" applyFont="true" applyBorder="true" applyAlignment="true" applyProtection="false">
      <alignment horizontal="center" vertical="center" textRotation="0" wrapText="false" indent="0" shrinkToFit="false"/>
      <protection locked="true" hidden="false"/>
    </xf>
    <xf numFmtId="166" fontId="27" fillId="19" borderId="4" xfId="0" applyFont="true" applyBorder="true" applyAlignment="true" applyProtection="false">
      <alignment horizontal="center" vertical="center" textRotation="0" wrapText="true" indent="0" shrinkToFit="false"/>
      <protection locked="true" hidden="false"/>
    </xf>
    <xf numFmtId="167" fontId="27" fillId="20" borderId="4" xfId="0" applyFont="true" applyBorder="true" applyAlignment="true" applyProtection="false">
      <alignment horizontal="center" vertical="center" textRotation="0" wrapText="true" indent="0" shrinkToFit="false"/>
      <protection locked="true" hidden="false"/>
    </xf>
    <xf numFmtId="169" fontId="28" fillId="21" borderId="4" xfId="0" applyFont="true" applyBorder="true" applyAlignment="true" applyProtection="false">
      <alignment horizontal="center" vertical="center" textRotation="0" wrapText="true" indent="0" shrinkToFit="false"/>
      <protection locked="true" hidden="false"/>
    </xf>
    <xf numFmtId="164" fontId="17" fillId="4" borderId="2" xfId="0" applyFont="true" applyBorder="true" applyAlignment="true" applyProtection="true">
      <alignment horizontal="left" vertical="center" textRotation="0" wrapText="false" indent="0" shrinkToFit="false"/>
      <protection locked="false" hidden="false"/>
    </xf>
    <xf numFmtId="164" fontId="17" fillId="4" borderId="2" xfId="0" applyFont="true" applyBorder="true" applyAlignment="true" applyProtection="true">
      <alignment horizontal="center" vertical="center" textRotation="0" wrapText="false" indent="0" shrinkToFit="false"/>
      <protection locked="false" hidden="false"/>
    </xf>
    <xf numFmtId="166" fontId="17" fillId="4" borderId="2" xfId="0" applyFont="true" applyBorder="true" applyAlignment="true" applyProtection="false">
      <alignment horizontal="center" vertical="center" textRotation="0" wrapText="false" indent="0" shrinkToFit="false"/>
      <protection locked="true" hidden="false"/>
    </xf>
    <xf numFmtId="164" fontId="17" fillId="4" borderId="2" xfId="0" applyFont="true" applyBorder="true" applyAlignment="true" applyProtection="false">
      <alignment horizontal="center" vertical="center" textRotation="0" wrapText="false" indent="0" shrinkToFit="false"/>
      <protection locked="true" hidden="false"/>
    </xf>
    <xf numFmtId="168" fontId="17" fillId="4" borderId="2" xfId="0" applyFont="true" applyBorder="true" applyAlignment="true" applyProtection="false">
      <alignment horizontal="center" vertical="center" textRotation="0" wrapText="false" indent="0" shrinkToFit="false"/>
      <protection locked="true" hidden="false"/>
    </xf>
    <xf numFmtId="169" fontId="17" fillId="4" borderId="2" xfId="0" applyFont="true" applyBorder="true" applyAlignment="true" applyProtection="false">
      <alignment horizontal="center" vertical="center" textRotation="0" wrapText="false" indent="0" shrinkToFit="false"/>
      <protection locked="true" hidden="false"/>
    </xf>
    <xf numFmtId="167" fontId="17" fillId="4" borderId="2" xfId="0" applyFont="true" applyBorder="true" applyAlignment="true" applyProtection="false">
      <alignment horizontal="center" vertical="center" textRotation="0" wrapText="false" indent="0" shrinkToFit="false"/>
      <protection locked="true" hidden="false"/>
    </xf>
    <xf numFmtId="164" fontId="29" fillId="4" borderId="2" xfId="0" applyFont="true" applyBorder="true" applyAlignment="true" applyProtection="true">
      <alignment horizontal="left" vertical="center" textRotation="0" wrapText="false" indent="0" shrinkToFit="false"/>
      <protection locked="false" hidden="false"/>
    </xf>
    <xf numFmtId="164" fontId="30" fillId="0" borderId="0" xfId="0" applyFont="true" applyBorder="true" applyAlignment="true" applyProtection="false">
      <alignment horizontal="left" vertical="center" textRotation="0" wrapText="true" indent="0" shrinkToFit="false"/>
      <protection locked="true" hidden="false"/>
    </xf>
    <xf numFmtId="164" fontId="31" fillId="0" borderId="0" xfId="0" applyFont="true" applyBorder="true" applyAlignment="true" applyProtection="false">
      <alignment horizontal="left"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9" fontId="35" fillId="18" borderId="5" xfId="0" applyFont="true" applyBorder="true" applyAlignment="true" applyProtection="false">
      <alignment horizontal="right" vertical="center" textRotation="0" wrapText="true" indent="0" shrinkToFit="false"/>
      <protection locked="true" hidden="false"/>
    </xf>
    <xf numFmtId="164" fontId="19" fillId="0" borderId="0" xfId="0" applyFont="true" applyBorder="true" applyAlignment="true" applyProtection="false">
      <alignment horizontal="general" vertical="center" textRotation="0" wrapText="true" indent="0" shrinkToFit="false"/>
      <protection locked="true" hidden="false"/>
    </xf>
    <xf numFmtId="167" fontId="35" fillId="18" borderId="5" xfId="0" applyFont="true" applyBorder="true" applyAlignment="true" applyProtection="false">
      <alignment horizontal="right" vertical="center" textRotation="0" wrapText="true" indent="0" shrinkToFit="false"/>
      <protection locked="true" hidden="false"/>
    </xf>
    <xf numFmtId="170" fontId="35" fillId="18" borderId="5" xfId="0" applyFont="true" applyBorder="true" applyAlignment="true" applyProtection="false">
      <alignment horizontal="right" vertical="center" textRotation="0" wrapText="tru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5" borderId="5" xfId="0" applyFont="true" applyBorder="true" applyAlignment="true" applyProtection="false">
      <alignment horizontal="center" vertical="center" textRotation="0" wrapText="true" indent="0" shrinkToFit="false"/>
      <protection locked="true" hidden="false"/>
    </xf>
    <xf numFmtId="167" fontId="36" fillId="22" borderId="5" xfId="0" applyFont="true" applyBorder="true" applyAlignment="true" applyProtection="false">
      <alignment horizontal="center" vertical="center" textRotation="0" wrapText="true" indent="0" shrinkToFit="false"/>
      <protection locked="true" hidden="false"/>
    </xf>
    <xf numFmtId="169" fontId="36" fillId="22" borderId="5" xfId="0" applyFont="true" applyBorder="true" applyAlignment="true" applyProtection="false">
      <alignment horizontal="right" vertical="center" textRotation="0" wrapText="true" indent="0" shrinkToFit="false"/>
      <protection locked="true" hidden="false"/>
    </xf>
    <xf numFmtId="166" fontId="36" fillId="22" borderId="5" xfId="0" applyFont="true" applyBorder="true" applyAlignment="true" applyProtection="false">
      <alignment horizontal="right" vertical="center" textRotation="0" wrapText="true" indent="0" shrinkToFit="false"/>
      <protection locked="true" hidden="false"/>
    </xf>
    <xf numFmtId="164" fontId="36" fillId="22" borderId="5" xfId="0" applyFont="true" applyBorder="true" applyAlignment="true" applyProtection="false">
      <alignment horizontal="center" vertical="center" textRotation="0" wrapText="true" indent="0" shrinkToFit="false"/>
      <protection locked="true" hidden="false"/>
    </xf>
    <xf numFmtId="171" fontId="36" fillId="22" borderId="5" xfId="0" applyFont="true" applyBorder="true" applyAlignment="true" applyProtection="false">
      <alignment horizontal="right" vertical="center" textRotation="0" wrapText="true" indent="0" shrinkToFit="false"/>
      <protection locked="true" hidden="false"/>
    </xf>
    <xf numFmtId="164" fontId="36" fillId="22" borderId="5"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98C7C"/>
        </patternFill>
      </fill>
    </dxf>
    <dxf>
      <fill>
        <patternFill>
          <bgColor rgb="FFEBB1A0"/>
        </patternFill>
      </fill>
    </dxf>
    <dxf>
      <fill>
        <patternFill>
          <bgColor rgb="FFF6CDA6"/>
        </patternFill>
      </fill>
    </dxf>
    <dxf>
      <fill>
        <patternFill>
          <bgColor rgb="FFF3E2A9"/>
        </patternFill>
      </fill>
    </dxf>
    <dxf>
      <fill>
        <patternFill>
          <bgColor rgb="FFCDE3D8"/>
        </patternFill>
      </fill>
    </dxf>
  </dxfs>
  <colors>
    <indexedColors>
      <rgbColor rgb="FF000000"/>
      <rgbColor rgb="FFFFFFFF"/>
      <rgbColor rgb="FFFF0000"/>
      <rgbColor rgb="FF00FF00"/>
      <rgbColor rgb="FF0000FF"/>
      <rgbColor rgb="FFEAF1EE"/>
      <rgbColor rgb="FFFF00FF"/>
      <rgbColor rgb="FF00FFFF"/>
      <rgbColor rgb="FF800000"/>
      <rgbColor rgb="FF1A5C2E"/>
      <rgbColor rgb="FF000080"/>
      <rgbColor rgb="FF808000"/>
      <rgbColor rgb="FF800080"/>
      <rgbColor rgb="FF1C7C6C"/>
      <rgbColor rgb="FFC9D1CD"/>
      <rgbColor rgb="FF6B7B74"/>
      <rgbColor rgb="FFF5F0FF"/>
      <rgbColor rgb="FF993366"/>
      <rgbColor rgb="FFFFF7E6"/>
      <rgbColor rgb="FFD6EFE6"/>
      <rgbColor rgb="FF4A235A"/>
      <rgbColor rgb="FFD98C7C"/>
      <rgbColor rgb="FF0066CC"/>
      <rgbColor rgb="FFC9D6D0"/>
      <rgbColor rgb="FF000080"/>
      <rgbColor rgb="FFFF00FF"/>
      <rgbColor rgb="FFF0F2F1"/>
      <rgbColor rgb="FF00FFFF"/>
      <rgbColor rgb="FF800080"/>
      <rgbColor rgb="FF800000"/>
      <rgbColor rgb="FF1D6348"/>
      <rgbColor rgb="FF0000FF"/>
      <rgbColor rgb="FF00CCFF"/>
      <rgbColor rgb="FFE8F4FD"/>
      <rgbColor rgb="FFE8F5E9"/>
      <rgbColor rgb="FFF3E2A9"/>
      <rgbColor rgb="FFCDE3D8"/>
      <rgbColor rgb="FFEBB1A0"/>
      <rgbColor rgb="FFD6E8F5"/>
      <rgbColor rgb="FFF6CDA6"/>
      <rgbColor rgb="FF3366FF"/>
      <rgbColor rgb="FF33CCCC"/>
      <rgbColor rgb="FF99CC00"/>
      <rgbColor rgb="FFF4F7F5"/>
      <rgbColor rgb="FFFF9900"/>
      <rgbColor rgb="FFFF6600"/>
      <rgbColor rgb="FF666699"/>
      <rgbColor rgb="FFB0B0B0"/>
      <rgbColor rgb="FF1A3A5C"/>
      <rgbColor rgb="FF339966"/>
      <rgbColor rgb="FF14463C"/>
      <rgbColor rgb="FF333300"/>
      <rgbColor rgb="FFC0492B"/>
      <rgbColor rgb="FF993366"/>
      <rgbColor rgb="FF1D456B"/>
      <rgbColor rgb="FF1F2A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3"/>
  <sheetViews>
    <sheetView showFormulas="false" showGridLines="false" showRowColHeaders="true" showZeros="true" rightToLeft="false" tabSelected="false" showOutlineSymbols="true" defaultGridColor="true" view="normal" topLeftCell="A7" colorId="64" zoomScale="202" zoomScaleNormal="202" zoomScalePageLayoutView="100" workbookViewId="0">
      <selection pane="topLeft" activeCell="AU45" activeCellId="0" sqref="AU45"/>
    </sheetView>
  </sheetViews>
  <sheetFormatPr defaultColWidth="8.714843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6" min="3" style="1" width="20"/>
    <col collapsed="false" customWidth="true" hidden="false" outlineLevel="0" max="7" min="7" style="1" width="2"/>
  </cols>
  <sheetData>
    <row r="2" customFormat="false" ht="15" hidden="false" customHeight="true" outlineLevel="0" collapsed="false">
      <c r="B2" s="2" t="s">
        <v>0</v>
      </c>
      <c r="C2" s="2"/>
      <c r="D2" s="2"/>
      <c r="E2" s="2"/>
      <c r="F2" s="2"/>
    </row>
    <row r="4" customFormat="false" ht="15" hidden="false" customHeight="true" outlineLevel="0" collapsed="false">
      <c r="B4" s="3" t="s">
        <v>1</v>
      </c>
      <c r="C4" s="3"/>
      <c r="D4" s="3"/>
      <c r="E4" s="3"/>
      <c r="F4" s="3"/>
    </row>
    <row r="5" customFormat="false" ht="15" hidden="false" customHeight="true" outlineLevel="0" collapsed="false">
      <c r="B5" s="3"/>
      <c r="C5" s="3"/>
      <c r="D5" s="3"/>
      <c r="E5" s="3"/>
      <c r="F5" s="3"/>
    </row>
    <row r="6" customFormat="false" ht="15" hidden="false" customHeight="true" outlineLevel="0" collapsed="false">
      <c r="B6" s="4" t="s">
        <v>2</v>
      </c>
      <c r="C6" s="4"/>
      <c r="D6" s="4"/>
      <c r="E6" s="4"/>
      <c r="F6" s="4"/>
    </row>
    <row r="7" customFormat="false" ht="15" hidden="false" customHeight="true" outlineLevel="0" collapsed="false">
      <c r="B7" s="4"/>
      <c r="C7" s="4"/>
      <c r="D7" s="4"/>
      <c r="E7" s="4"/>
      <c r="F7" s="4"/>
    </row>
    <row r="9" customFormat="false" ht="15.75" hidden="false" customHeight="true" outlineLevel="0" collapsed="false">
      <c r="B9" s="5" t="s">
        <v>3</v>
      </c>
      <c r="C9" s="5"/>
      <c r="D9" s="5"/>
      <c r="E9" s="5"/>
      <c r="F9" s="5"/>
    </row>
    <row r="10" customFormat="false" ht="24" hidden="false" customHeight="true" outlineLevel="0" collapsed="false">
      <c r="B10" s="6" t="s">
        <v>4</v>
      </c>
      <c r="C10" s="7" t="s">
        <v>5</v>
      </c>
      <c r="D10" s="7"/>
      <c r="E10" s="7"/>
      <c r="F10" s="7"/>
    </row>
    <row r="11" customFormat="false" ht="24" hidden="false" customHeight="true" outlineLevel="0" collapsed="false">
      <c r="B11" s="6" t="s">
        <v>6</v>
      </c>
      <c r="C11" s="7" t="s">
        <v>7</v>
      </c>
      <c r="D11" s="7"/>
      <c r="E11" s="7"/>
      <c r="F11" s="7"/>
    </row>
    <row r="12" customFormat="false" ht="24" hidden="false" customHeight="true" outlineLevel="0" collapsed="false">
      <c r="B12" s="6" t="s">
        <v>8</v>
      </c>
      <c r="C12" s="7" t="s">
        <v>9</v>
      </c>
      <c r="D12" s="7"/>
      <c r="E12" s="7"/>
      <c r="F12" s="7"/>
    </row>
    <row r="13" customFormat="false" ht="24" hidden="false" customHeight="true" outlineLevel="0" collapsed="false">
      <c r="B13" s="6" t="s">
        <v>10</v>
      </c>
      <c r="C13" s="7" t="s">
        <v>11</v>
      </c>
      <c r="D13" s="7"/>
      <c r="E13" s="7"/>
      <c r="F13" s="7"/>
    </row>
    <row r="14" customFormat="false" ht="24" hidden="false" customHeight="true" outlineLevel="0" collapsed="false">
      <c r="B14" s="6" t="s">
        <v>12</v>
      </c>
      <c r="C14" s="7" t="s">
        <v>13</v>
      </c>
      <c r="D14" s="7"/>
      <c r="E14" s="7"/>
      <c r="F14" s="7"/>
    </row>
    <row r="16" customFormat="false" ht="15.75" hidden="false" customHeight="true" outlineLevel="0" collapsed="false">
      <c r="B16" s="8" t="s">
        <v>14</v>
      </c>
      <c r="C16" s="8"/>
      <c r="D16" s="8"/>
      <c r="E16" s="8"/>
      <c r="F16" s="8"/>
    </row>
    <row r="17" customFormat="false" ht="19.5" hidden="false" customHeight="true" outlineLevel="0" collapsed="false">
      <c r="B17" s="9" t="s">
        <v>15</v>
      </c>
      <c r="C17" s="9"/>
      <c r="D17" s="9"/>
      <c r="E17" s="9"/>
      <c r="F17" s="9"/>
    </row>
    <row r="18" customFormat="false" ht="19.5" hidden="false" customHeight="true" outlineLevel="0" collapsed="false">
      <c r="B18" s="9" t="s">
        <v>16</v>
      </c>
      <c r="C18" s="9"/>
      <c r="D18" s="9"/>
      <c r="E18" s="9"/>
      <c r="F18" s="9"/>
    </row>
    <row r="19" customFormat="false" ht="19.5" hidden="false" customHeight="true" outlineLevel="0" collapsed="false">
      <c r="B19" s="9" t="s">
        <v>17</v>
      </c>
      <c r="C19" s="9"/>
      <c r="D19" s="9"/>
      <c r="E19" s="9"/>
      <c r="F19" s="9"/>
    </row>
    <row r="20" customFormat="false" ht="27.75" hidden="false" customHeight="true" outlineLevel="0" collapsed="false">
      <c r="B20" s="9" t="s">
        <v>18</v>
      </c>
      <c r="C20" s="9"/>
      <c r="D20" s="9"/>
      <c r="E20" s="9"/>
      <c r="F20" s="9"/>
    </row>
    <row r="21" customFormat="false" ht="15" hidden="false" customHeight="true" outlineLevel="0" collapsed="false">
      <c r="B21" s="10" t="s">
        <v>19</v>
      </c>
      <c r="C21" s="10"/>
      <c r="D21" s="10"/>
      <c r="E21" s="10"/>
      <c r="F21" s="10"/>
    </row>
    <row r="22" customFormat="false" ht="15" hidden="false" customHeight="true" outlineLevel="0" collapsed="false">
      <c r="B22" s="10"/>
      <c r="C22" s="10"/>
      <c r="D22" s="10"/>
      <c r="E22" s="10"/>
      <c r="F22" s="10"/>
    </row>
    <row r="23" customFormat="false" ht="15" hidden="false" customHeight="true" outlineLevel="0" collapsed="false">
      <c r="B23" s="10"/>
      <c r="C23" s="10"/>
      <c r="D23" s="10"/>
      <c r="E23" s="10"/>
      <c r="F23" s="10"/>
    </row>
  </sheetData>
  <mergeCells count="15">
    <mergeCell ref="B2:F2"/>
    <mergeCell ref="B4:F5"/>
    <mergeCell ref="B6:F7"/>
    <mergeCell ref="B9:F9"/>
    <mergeCell ref="C10:F10"/>
    <mergeCell ref="C11:F11"/>
    <mergeCell ref="C12:F12"/>
    <mergeCell ref="C13:F13"/>
    <mergeCell ref="C14:F14"/>
    <mergeCell ref="B16:F16"/>
    <mergeCell ref="B17:F17"/>
    <mergeCell ref="B18:F18"/>
    <mergeCell ref="B19:F19"/>
    <mergeCell ref="B20:F20"/>
    <mergeCell ref="B21:F2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32"/>
  <sheetViews>
    <sheetView showFormulas="false" showGridLines="false" showRowColHeaders="true" showZeros="true" rightToLeft="false" tabSelected="false" showOutlineSymbols="true" defaultGridColor="true" view="normal" topLeftCell="A1" colorId="64" zoomScale="232" zoomScaleNormal="232" zoomScalePageLayoutView="100" workbookViewId="0">
      <selection pane="topLeft" activeCell="C39" activeCellId="0" sqref="C39"/>
    </sheetView>
  </sheetViews>
  <sheetFormatPr defaultColWidth="8.714843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88"/>
  </cols>
  <sheetData>
    <row r="1" customFormat="false" ht="15" hidden="false" customHeight="true" outlineLevel="0" collapsed="false">
      <c r="B1" s="11" t="s">
        <v>0</v>
      </c>
      <c r="C1" s="11"/>
    </row>
    <row r="2" customFormat="false" ht="26.25" hidden="false" customHeight="true" outlineLevel="0" collapsed="false">
      <c r="B2" s="12" t="s">
        <v>20</v>
      </c>
      <c r="C2" s="12"/>
    </row>
    <row r="3" customFormat="false" ht="15" hidden="false" customHeight="true" outlineLevel="0" collapsed="false">
      <c r="B3" s="13" t="s">
        <v>21</v>
      </c>
      <c r="C3" s="13"/>
    </row>
    <row r="5" customFormat="false" ht="15.75" hidden="false" customHeight="true" outlineLevel="0" collapsed="false">
      <c r="B5" s="14" t="s">
        <v>22</v>
      </c>
      <c r="C5" s="14"/>
    </row>
    <row r="6" customFormat="false" ht="30" hidden="false" customHeight="true" outlineLevel="0" collapsed="false">
      <c r="B6" s="15" t="s">
        <v>23</v>
      </c>
      <c r="C6" s="16" t="s">
        <v>24</v>
      </c>
    </row>
    <row r="7" customFormat="false" ht="30" hidden="false" customHeight="true" outlineLevel="0" collapsed="false">
      <c r="B7" s="15" t="s">
        <v>25</v>
      </c>
      <c r="C7" s="16" t="s">
        <v>26</v>
      </c>
    </row>
    <row r="8" customFormat="false" ht="30" hidden="false" customHeight="true" outlineLevel="0" collapsed="false">
      <c r="B8" s="15" t="s">
        <v>27</v>
      </c>
      <c r="C8" s="16" t="s">
        <v>28</v>
      </c>
    </row>
    <row r="9" customFormat="false" ht="30" hidden="false" customHeight="true" outlineLevel="0" collapsed="false">
      <c r="B9" s="15" t="s">
        <v>29</v>
      </c>
      <c r="C9" s="16" t="s">
        <v>30</v>
      </c>
    </row>
    <row r="10" customFormat="false" ht="30" hidden="false" customHeight="true" outlineLevel="0" collapsed="false">
      <c r="B10" s="15" t="s">
        <v>31</v>
      </c>
      <c r="C10" s="16" t="s">
        <v>32</v>
      </c>
    </row>
    <row r="11" customFormat="false" ht="30" hidden="false" customHeight="true" outlineLevel="0" collapsed="false">
      <c r="B11" s="15" t="s">
        <v>33</v>
      </c>
      <c r="C11" s="16" t="s">
        <v>34</v>
      </c>
    </row>
    <row r="13" customFormat="false" ht="15.75" hidden="false" customHeight="true" outlineLevel="0" collapsed="false">
      <c r="B13" s="14" t="s">
        <v>35</v>
      </c>
      <c r="C13" s="14"/>
    </row>
    <row r="14" customFormat="false" ht="30" hidden="false" customHeight="true" outlineLevel="0" collapsed="false">
      <c r="B14" s="15" t="s">
        <v>36</v>
      </c>
      <c r="C14" s="16" t="s">
        <v>37</v>
      </c>
    </row>
    <row r="15" customFormat="false" ht="30" hidden="false" customHeight="true" outlineLevel="0" collapsed="false">
      <c r="B15" s="15" t="s">
        <v>38</v>
      </c>
      <c r="C15" s="16" t="s">
        <v>39</v>
      </c>
    </row>
    <row r="16" customFormat="false" ht="30" hidden="false" customHeight="true" outlineLevel="0" collapsed="false">
      <c r="B16" s="15" t="s">
        <v>40</v>
      </c>
      <c r="C16" s="16" t="s">
        <v>41</v>
      </c>
    </row>
    <row r="17" customFormat="false" ht="30" hidden="false" customHeight="true" outlineLevel="0" collapsed="false">
      <c r="B17" s="15" t="s">
        <v>42</v>
      </c>
      <c r="C17" s="16" t="s">
        <v>43</v>
      </c>
    </row>
    <row r="18" customFormat="false" ht="30" hidden="false" customHeight="true" outlineLevel="0" collapsed="false">
      <c r="B18" s="15" t="s">
        <v>44</v>
      </c>
      <c r="C18" s="16" t="s">
        <v>45</v>
      </c>
    </row>
    <row r="19" customFormat="false" ht="30" hidden="false" customHeight="true" outlineLevel="0" collapsed="false">
      <c r="B19" s="15" t="s">
        <v>46</v>
      </c>
      <c r="C19" s="16" t="s">
        <v>47</v>
      </c>
    </row>
    <row r="21" customFormat="false" ht="15.75" hidden="false" customHeight="true" outlineLevel="0" collapsed="false">
      <c r="B21" s="14" t="s">
        <v>48</v>
      </c>
      <c r="C21" s="14"/>
    </row>
    <row r="22" customFormat="false" ht="43.5" hidden="false" customHeight="true" outlineLevel="0" collapsed="false">
      <c r="B22" s="9" t="s">
        <v>49</v>
      </c>
      <c r="C22" s="9"/>
    </row>
    <row r="24" customFormat="false" ht="15.75" hidden="false" customHeight="true" outlineLevel="0" collapsed="false">
      <c r="B24" s="14" t="s">
        <v>50</v>
      </c>
      <c r="C24" s="14"/>
    </row>
    <row r="25" customFormat="false" ht="21.75" hidden="false" customHeight="true" outlineLevel="0" collapsed="false">
      <c r="B25" s="9" t="s">
        <v>51</v>
      </c>
      <c r="C25" s="9"/>
    </row>
    <row r="26" customFormat="false" ht="21.75" hidden="false" customHeight="true" outlineLevel="0" collapsed="false">
      <c r="B26" s="9" t="s">
        <v>52</v>
      </c>
      <c r="C26" s="9"/>
    </row>
    <row r="27" customFormat="false" ht="21.75" hidden="false" customHeight="true" outlineLevel="0" collapsed="false">
      <c r="B27" s="9" t="s">
        <v>53</v>
      </c>
      <c r="C27" s="9"/>
    </row>
    <row r="28" customFormat="false" ht="21.75" hidden="false" customHeight="true" outlineLevel="0" collapsed="false">
      <c r="B28" s="9" t="s">
        <v>54</v>
      </c>
      <c r="C28" s="9"/>
    </row>
    <row r="30" customFormat="false" ht="15" hidden="false" customHeight="true" outlineLevel="0" collapsed="false">
      <c r="B30" s="10" t="s">
        <v>19</v>
      </c>
      <c r="C30" s="10"/>
    </row>
    <row r="31" customFormat="false" ht="15" hidden="false" customHeight="true" outlineLevel="0" collapsed="false">
      <c r="B31" s="10"/>
      <c r="C31" s="10"/>
    </row>
    <row r="32" customFormat="false" ht="15" hidden="false" customHeight="true" outlineLevel="0" collapsed="false">
      <c r="B32" s="10"/>
      <c r="C32" s="10"/>
    </row>
  </sheetData>
  <mergeCells count="13">
    <mergeCell ref="B1:C1"/>
    <mergeCell ref="B2:C2"/>
    <mergeCell ref="B3:C3"/>
    <mergeCell ref="B5:C5"/>
    <mergeCell ref="B13:C13"/>
    <mergeCell ref="B21:C21"/>
    <mergeCell ref="B22:C22"/>
    <mergeCell ref="B24:C24"/>
    <mergeCell ref="B25:C25"/>
    <mergeCell ref="B26:C26"/>
    <mergeCell ref="B27:C27"/>
    <mergeCell ref="B28:C28"/>
    <mergeCell ref="B30:C3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33"/>
  <sheetViews>
    <sheetView showFormulas="false" showGridLines="false" showRowColHeaders="true" showZeros="true" rightToLeft="false" tabSelected="true" showOutlineSymbols="true" defaultGridColor="true" view="normal" topLeftCell="A1" colorId="64" zoomScale="220" zoomScaleNormal="220" zoomScalePageLayoutView="100" workbookViewId="0">
      <selection pane="topLeft" activeCell="D42" activeCellId="0" sqref="D42"/>
    </sheetView>
  </sheetViews>
  <sheetFormatPr defaultColWidth="8.714843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4" min="3" style="1" width="16"/>
    <col collapsed="false" customWidth="true" hidden="false" outlineLevel="0" max="5" min="5" style="1" width="26"/>
    <col collapsed="false" customWidth="true" hidden="false" outlineLevel="0" max="6" min="6" style="1" width="16"/>
    <col collapsed="false" customWidth="true" hidden="false" outlineLevel="0" max="7" min="7" style="1" width="26"/>
  </cols>
  <sheetData>
    <row r="1" customFormat="false" ht="15" hidden="false" customHeight="true" outlineLevel="0" collapsed="false">
      <c r="B1" s="11" t="s">
        <v>0</v>
      </c>
      <c r="C1" s="11"/>
      <c r="D1" s="11"/>
      <c r="E1" s="11"/>
      <c r="F1" s="11"/>
      <c r="G1" s="11"/>
    </row>
    <row r="2" customFormat="false" ht="26.25" hidden="false" customHeight="true" outlineLevel="0" collapsed="false">
      <c r="B2" s="12" t="s">
        <v>55</v>
      </c>
      <c r="C2" s="12"/>
      <c r="D2" s="12"/>
      <c r="E2" s="12"/>
      <c r="F2" s="12"/>
      <c r="G2" s="12"/>
    </row>
    <row r="4" customFormat="false" ht="15.75" hidden="false" customHeight="true" outlineLevel="0" collapsed="false">
      <c r="B4" s="17" t="s">
        <v>56</v>
      </c>
    </row>
    <row r="5" customFormat="false" ht="15" hidden="false" customHeight="true" outlineLevel="0" collapsed="false">
      <c r="B5" s="18" t="s">
        <v>57</v>
      </c>
      <c r="C5" s="19" t="n">
        <v>10</v>
      </c>
      <c r="D5" s="20" t="s">
        <v>58</v>
      </c>
      <c r="E5" s="20"/>
      <c r="F5" s="20"/>
      <c r="G5" s="20"/>
    </row>
    <row r="6" customFormat="false" ht="15" hidden="false" customHeight="true" outlineLevel="0" collapsed="false">
      <c r="B6" s="18" t="s">
        <v>59</v>
      </c>
      <c r="C6" s="19" t="n">
        <v>20000000</v>
      </c>
      <c r="D6" s="20" t="s">
        <v>60</v>
      </c>
      <c r="E6" s="20"/>
      <c r="F6" s="20"/>
      <c r="G6" s="20"/>
    </row>
    <row r="8" customFormat="false" ht="15.75" hidden="false" customHeight="true" outlineLevel="0" collapsed="false">
      <c r="B8" s="17" t="s">
        <v>61</v>
      </c>
    </row>
    <row r="9" customFormat="false" ht="15" hidden="false" customHeight="true" outlineLevel="0" collapsed="false">
      <c r="B9" s="21" t="s">
        <v>40</v>
      </c>
      <c r="C9" s="21" t="s">
        <v>62</v>
      </c>
      <c r="D9" s="21" t="s">
        <v>63</v>
      </c>
      <c r="E9" s="21"/>
      <c r="F9" s="21"/>
      <c r="G9" s="21"/>
    </row>
    <row r="10" customFormat="false" ht="15" hidden="false" customHeight="true" outlineLevel="0" collapsed="false">
      <c r="B10" s="22" t="s">
        <v>64</v>
      </c>
      <c r="C10" s="23" t="s">
        <v>65</v>
      </c>
      <c r="D10" s="24" t="s">
        <v>66</v>
      </c>
      <c r="E10" s="24"/>
      <c r="F10" s="24"/>
      <c r="G10" s="24"/>
    </row>
    <row r="11" customFormat="false" ht="15" hidden="false" customHeight="true" outlineLevel="0" collapsed="false">
      <c r="B11" s="25" t="s">
        <v>67</v>
      </c>
      <c r="C11" s="23" t="s">
        <v>68</v>
      </c>
      <c r="D11" s="24" t="s">
        <v>69</v>
      </c>
      <c r="E11" s="24"/>
      <c r="F11" s="24"/>
      <c r="G11" s="24"/>
    </row>
    <row r="12" customFormat="false" ht="15" hidden="false" customHeight="true" outlineLevel="0" collapsed="false">
      <c r="B12" s="26" t="s">
        <v>70</v>
      </c>
      <c r="C12" s="23" t="s">
        <v>71</v>
      </c>
      <c r="D12" s="24" t="s">
        <v>72</v>
      </c>
      <c r="E12" s="24"/>
      <c r="F12" s="24"/>
      <c r="G12" s="24"/>
    </row>
    <row r="13" customFormat="false" ht="15" hidden="false" customHeight="true" outlineLevel="0" collapsed="false">
      <c r="B13" s="27" t="s">
        <v>73</v>
      </c>
      <c r="C13" s="23" t="s">
        <v>74</v>
      </c>
      <c r="D13" s="24" t="s">
        <v>75</v>
      </c>
      <c r="E13" s="24"/>
      <c r="F13" s="24"/>
      <c r="G13" s="24"/>
    </row>
    <row r="14" customFormat="false" ht="15" hidden="false" customHeight="true" outlineLevel="0" collapsed="false">
      <c r="B14" s="28" t="s">
        <v>76</v>
      </c>
      <c r="C14" s="23" t="s">
        <v>77</v>
      </c>
      <c r="D14" s="24" t="s">
        <v>78</v>
      </c>
      <c r="E14" s="24"/>
      <c r="F14" s="24"/>
      <c r="G14" s="24"/>
    </row>
    <row r="16" customFormat="false" ht="15.75" hidden="false" customHeight="true" outlineLevel="0" collapsed="false">
      <c r="B16" s="17" t="s">
        <v>79</v>
      </c>
    </row>
    <row r="17" customFormat="false" ht="15" hidden="false" customHeight="true" outlineLevel="0" collapsed="false">
      <c r="B17" s="21" t="s">
        <v>80</v>
      </c>
      <c r="C17" s="21" t="s">
        <v>81</v>
      </c>
      <c r="D17" s="21" t="s">
        <v>82</v>
      </c>
      <c r="E17" s="21"/>
      <c r="F17" s="21"/>
      <c r="G17" s="21"/>
    </row>
    <row r="18" customFormat="false" ht="15" hidden="false" customHeight="true" outlineLevel="0" collapsed="false">
      <c r="B18" s="24" t="s">
        <v>83</v>
      </c>
      <c r="C18" s="23" t="s">
        <v>84</v>
      </c>
      <c r="D18" s="23" t="s">
        <v>85</v>
      </c>
      <c r="E18" s="23"/>
      <c r="F18" s="23"/>
      <c r="G18" s="23"/>
    </row>
    <row r="19" customFormat="false" ht="15" hidden="false" customHeight="true" outlineLevel="0" collapsed="false">
      <c r="B19" s="24" t="s">
        <v>86</v>
      </c>
      <c r="C19" s="23" t="s">
        <v>87</v>
      </c>
      <c r="D19" s="23" t="s">
        <v>88</v>
      </c>
      <c r="E19" s="23"/>
      <c r="F19" s="23"/>
      <c r="G19" s="23"/>
    </row>
    <row r="20" customFormat="false" ht="15" hidden="false" customHeight="true" outlineLevel="0" collapsed="false">
      <c r="B20" s="24" t="s">
        <v>89</v>
      </c>
      <c r="C20" s="23" t="s">
        <v>90</v>
      </c>
      <c r="D20" s="23" t="s">
        <v>91</v>
      </c>
      <c r="E20" s="23"/>
      <c r="F20" s="23"/>
      <c r="G20" s="23"/>
    </row>
    <row r="21" customFormat="false" ht="15" hidden="false" customHeight="true" outlineLevel="0" collapsed="false">
      <c r="B21" s="24" t="s">
        <v>92</v>
      </c>
      <c r="C21" s="23" t="s">
        <v>93</v>
      </c>
      <c r="D21" s="23" t="s">
        <v>94</v>
      </c>
      <c r="E21" s="23"/>
      <c r="F21" s="23"/>
      <c r="G21" s="23"/>
    </row>
    <row r="22" customFormat="false" ht="15" hidden="false" customHeight="true" outlineLevel="0" collapsed="false">
      <c r="B22" s="24" t="s">
        <v>95</v>
      </c>
      <c r="C22" s="23" t="s">
        <v>96</v>
      </c>
      <c r="D22" s="23" t="s">
        <v>97</v>
      </c>
      <c r="E22" s="23"/>
      <c r="F22" s="23"/>
      <c r="G22" s="23"/>
    </row>
    <row r="24" customFormat="false" ht="15.75" hidden="false" customHeight="true" outlineLevel="0" collapsed="false">
      <c r="B24" s="17" t="s">
        <v>98</v>
      </c>
    </row>
    <row r="25" customFormat="false" ht="21.75" hidden="false" customHeight="true" outlineLevel="0" collapsed="false">
      <c r="B25" s="29" t="s">
        <v>99</v>
      </c>
      <c r="C25" s="29"/>
      <c r="D25" s="30" t="s">
        <v>100</v>
      </c>
      <c r="E25" s="30"/>
      <c r="F25" s="29" t="s">
        <v>101</v>
      </c>
      <c r="G25" s="29"/>
    </row>
    <row r="26" customFormat="false" ht="31.5" hidden="false" customHeight="true" outlineLevel="0" collapsed="false">
      <c r="B26" s="31" t="s">
        <v>102</v>
      </c>
      <c r="C26" s="31"/>
      <c r="D26" s="31" t="s">
        <v>103</v>
      </c>
      <c r="E26" s="31"/>
      <c r="F26" s="31" t="s">
        <v>104</v>
      </c>
      <c r="G26" s="31"/>
    </row>
    <row r="27" customFormat="false" ht="31.5" hidden="false" customHeight="true" outlineLevel="0" collapsed="false">
      <c r="B27" s="31" t="s">
        <v>105</v>
      </c>
      <c r="C27" s="31"/>
      <c r="D27" s="31" t="s">
        <v>106</v>
      </c>
      <c r="E27" s="31"/>
      <c r="F27" s="31" t="s">
        <v>107</v>
      </c>
      <c r="G27" s="31"/>
    </row>
    <row r="28" customFormat="false" ht="31.5" hidden="false" customHeight="true" outlineLevel="0" collapsed="false">
      <c r="B28" s="31" t="s">
        <v>108</v>
      </c>
      <c r="C28" s="31"/>
      <c r="D28" s="31" t="s">
        <v>109</v>
      </c>
      <c r="E28" s="31"/>
      <c r="F28" s="31" t="s">
        <v>110</v>
      </c>
      <c r="G28" s="31"/>
    </row>
    <row r="29" customFormat="false" ht="31.5" hidden="false" customHeight="true" outlineLevel="0" collapsed="false">
      <c r="B29" s="31" t="s">
        <v>111</v>
      </c>
      <c r="C29" s="31"/>
      <c r="D29" s="31" t="s">
        <v>112</v>
      </c>
      <c r="E29" s="31"/>
      <c r="F29" s="31" t="s">
        <v>113</v>
      </c>
      <c r="G29" s="31"/>
    </row>
    <row r="31" customFormat="false" ht="15" hidden="false" customHeight="true" outlineLevel="0" collapsed="false">
      <c r="B31" s="32" t="s">
        <v>19</v>
      </c>
      <c r="C31" s="32"/>
      <c r="D31" s="32"/>
      <c r="E31" s="32"/>
      <c r="F31" s="32"/>
      <c r="G31" s="32"/>
    </row>
    <row r="32" customFormat="false" ht="15" hidden="false" customHeight="true" outlineLevel="0" collapsed="false">
      <c r="B32" s="32"/>
      <c r="C32" s="32"/>
      <c r="D32" s="32"/>
      <c r="E32" s="32"/>
      <c r="F32" s="32"/>
      <c r="G32" s="32"/>
    </row>
    <row r="33" customFormat="false" ht="15" hidden="false" customHeight="true" outlineLevel="0" collapsed="false">
      <c r="B33" s="32"/>
      <c r="C33" s="32"/>
      <c r="D33" s="32"/>
      <c r="E33" s="32"/>
      <c r="F33" s="32"/>
      <c r="G33" s="32"/>
    </row>
  </sheetData>
  <mergeCells count="32">
    <mergeCell ref="B1:G1"/>
    <mergeCell ref="B2:G2"/>
    <mergeCell ref="D5:G5"/>
    <mergeCell ref="D6:G6"/>
    <mergeCell ref="D9:G9"/>
    <mergeCell ref="D10:G10"/>
    <mergeCell ref="D11:G11"/>
    <mergeCell ref="D12:G12"/>
    <mergeCell ref="D13:G13"/>
    <mergeCell ref="D14:G14"/>
    <mergeCell ref="D17:G17"/>
    <mergeCell ref="D18:G18"/>
    <mergeCell ref="D19:G19"/>
    <mergeCell ref="D20:G20"/>
    <mergeCell ref="D21:G21"/>
    <mergeCell ref="D22:G22"/>
    <mergeCell ref="B25:C25"/>
    <mergeCell ref="D25:E25"/>
    <mergeCell ref="F25:G25"/>
    <mergeCell ref="B26:C26"/>
    <mergeCell ref="D26:E26"/>
    <mergeCell ref="F26:G26"/>
    <mergeCell ref="B27:C27"/>
    <mergeCell ref="D27:E27"/>
    <mergeCell ref="F27:G27"/>
    <mergeCell ref="B28:C28"/>
    <mergeCell ref="D28:E28"/>
    <mergeCell ref="F28:G28"/>
    <mergeCell ref="B29:C29"/>
    <mergeCell ref="D29:E29"/>
    <mergeCell ref="F29:G29"/>
    <mergeCell ref="B31:G3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20"/>
  <sheetViews>
    <sheetView showFormulas="false" showGridLines="false" showRowColHeaders="true" showZeros="true" rightToLeft="false" tabSelected="true" showOutlineSymbols="true" defaultGridColor="true" view="normal" topLeftCell="A1" colorId="64" zoomScale="160" zoomScaleNormal="160" zoomScalePageLayoutView="100" workbookViewId="0">
      <pane xSplit="0" ySplit="4" topLeftCell="A5" activePane="bottomLeft" state="frozen"/>
      <selection pane="topLeft" activeCell="A1" activeCellId="0" sqref="A1"/>
      <selection pane="bottomLeft" activeCell="M14" activeCellId="0" sqref="M14"/>
    </sheetView>
  </sheetViews>
  <sheetFormatPr defaultColWidth="8.71484375" defaultRowHeight="15" zeroHeight="false" outlineLevelRow="0" outlineLevelCol="0"/>
  <cols>
    <col collapsed="false" customWidth="true" hidden="false" outlineLevel="0" max="1" min="1" style="1" width="13"/>
    <col collapsed="false" customWidth="true" hidden="false" outlineLevel="0" max="2" min="2" style="1" width="11"/>
    <col collapsed="false" customWidth="true" hidden="false" outlineLevel="0" max="3" min="3" style="1" width="15"/>
    <col collapsed="false" customWidth="true" hidden="false" outlineLevel="0" max="4" min="4" style="1" width="23.57"/>
    <col collapsed="false" customWidth="true" hidden="false" outlineLevel="0" max="5" min="5" style="1" width="13"/>
    <col collapsed="false" customWidth="true" hidden="false" outlineLevel="0" max="6" min="6" style="1" width="7"/>
    <col collapsed="false" customWidth="true" hidden="false" outlineLevel="0" max="7" min="7" style="1" width="8"/>
    <col collapsed="false" customWidth="true" hidden="false" outlineLevel="0" max="8" min="8" style="1" width="9"/>
    <col collapsed="false" customWidth="true" hidden="false" outlineLevel="0" max="9" min="9" style="1" width="7"/>
    <col collapsed="false" customWidth="true" hidden="false" outlineLevel="0" max="13" min="10" style="1" width="8"/>
    <col collapsed="false" customWidth="true" hidden="false" outlineLevel="0" max="14" min="14" style="1" width="10"/>
    <col collapsed="false" customWidth="true" hidden="false" outlineLevel="0" max="15" min="15" style="1" width="8"/>
    <col collapsed="false" customWidth="true" hidden="false" outlineLevel="0" max="16" min="16" style="1" width="12"/>
    <col collapsed="false" customWidth="true" hidden="false" outlineLevel="0" max="17" min="17" style="1" width="8"/>
    <col collapsed="false" customWidth="true" hidden="false" outlineLevel="0" max="18" min="18" style="1" width="12"/>
    <col collapsed="false" customWidth="true" hidden="false" outlineLevel="0" max="19" min="19" style="1" width="8"/>
    <col collapsed="false" customWidth="true" hidden="false" outlineLevel="0" max="21" min="20" style="1" width="9"/>
    <col collapsed="false" customWidth="true" hidden="false" outlineLevel="0" max="24" min="22" style="1" width="12"/>
    <col collapsed="false" customWidth="true" hidden="false" outlineLevel="0" max="25" min="25" style="1" width="11"/>
    <col collapsed="false" customWidth="true" hidden="false" outlineLevel="0" max="26" min="26" style="1" width="13"/>
  </cols>
  <sheetData>
    <row r="1" customFormat="false" ht="21.75" hidden="false" customHeight="true" outlineLevel="0" collapsed="false">
      <c r="A1" s="33" t="s">
        <v>114</v>
      </c>
      <c r="B1" s="33"/>
      <c r="C1" s="33"/>
      <c r="D1" s="33"/>
      <c r="E1" s="33"/>
      <c r="F1" s="33"/>
      <c r="G1" s="33"/>
      <c r="H1" s="33"/>
      <c r="I1" s="33"/>
      <c r="J1" s="33"/>
      <c r="K1" s="33"/>
      <c r="L1" s="33"/>
      <c r="M1" s="33"/>
      <c r="N1" s="33"/>
      <c r="O1" s="33"/>
      <c r="P1" s="33"/>
      <c r="Q1" s="33"/>
      <c r="R1" s="33"/>
      <c r="S1" s="33"/>
      <c r="T1" s="33"/>
      <c r="U1" s="33"/>
      <c r="V1" s="33"/>
      <c r="W1" s="33"/>
      <c r="X1" s="33"/>
      <c r="Y1" s="33"/>
      <c r="Z1" s="33"/>
    </row>
    <row r="2" customFormat="false" ht="15" hidden="false" customHeight="true" outlineLevel="0" collapsed="false">
      <c r="A2" s="34" t="s">
        <v>115</v>
      </c>
      <c r="B2" s="34"/>
      <c r="C2" s="34"/>
      <c r="D2" s="34"/>
      <c r="E2" s="34"/>
      <c r="F2" s="34"/>
      <c r="G2" s="34"/>
      <c r="H2" s="34"/>
      <c r="I2" s="34"/>
      <c r="J2" s="34"/>
      <c r="K2" s="34"/>
      <c r="L2" s="34"/>
      <c r="M2" s="34"/>
      <c r="N2" s="34"/>
      <c r="O2" s="34"/>
      <c r="P2" s="34"/>
      <c r="Q2" s="34"/>
      <c r="R2" s="34"/>
      <c r="S2" s="34"/>
      <c r="T2" s="34"/>
      <c r="U2" s="34"/>
      <c r="V2" s="34"/>
      <c r="W2" s="34"/>
      <c r="X2" s="34"/>
      <c r="Y2" s="34"/>
      <c r="Z2" s="34"/>
    </row>
    <row r="3" customFormat="false" ht="15" hidden="false" customHeight="true" outlineLevel="0" collapsed="false">
      <c r="L3" s="35" t="s">
        <v>116</v>
      </c>
      <c r="M3" s="36" t="s">
        <v>117</v>
      </c>
      <c r="X3" s="37" t="s">
        <v>118</v>
      </c>
    </row>
    <row r="4" customFormat="false" ht="63.75" hidden="false" customHeight="true" outlineLevel="0" collapsed="false">
      <c r="A4" s="38" t="s">
        <v>119</v>
      </c>
      <c r="B4" s="38" t="s">
        <v>120</v>
      </c>
      <c r="C4" s="38" t="s">
        <v>121</v>
      </c>
      <c r="D4" s="38" t="s">
        <v>122</v>
      </c>
      <c r="E4" s="38" t="s">
        <v>23</v>
      </c>
      <c r="F4" s="38" t="s">
        <v>123</v>
      </c>
      <c r="G4" s="38" t="s">
        <v>124</v>
      </c>
      <c r="H4" s="38" t="s">
        <v>125</v>
      </c>
      <c r="I4" s="38" t="s">
        <v>126</v>
      </c>
      <c r="J4" s="38" t="s">
        <v>127</v>
      </c>
      <c r="K4" s="38" t="s">
        <v>128</v>
      </c>
      <c r="L4" s="39" t="s">
        <v>129</v>
      </c>
      <c r="M4" s="39" t="s">
        <v>130</v>
      </c>
      <c r="N4" s="38" t="s">
        <v>131</v>
      </c>
      <c r="O4" s="38" t="s">
        <v>132</v>
      </c>
      <c r="P4" s="38" t="s">
        <v>133</v>
      </c>
      <c r="Q4" s="38" t="s">
        <v>134</v>
      </c>
      <c r="R4" s="38" t="s">
        <v>135</v>
      </c>
      <c r="S4" s="38" t="s">
        <v>136</v>
      </c>
      <c r="T4" s="38" t="s">
        <v>137</v>
      </c>
      <c r="U4" s="38" t="s">
        <v>138</v>
      </c>
      <c r="V4" s="38" t="s">
        <v>139</v>
      </c>
      <c r="W4" s="38" t="s">
        <v>140</v>
      </c>
      <c r="X4" s="40" t="s">
        <v>141</v>
      </c>
      <c r="Y4" s="41" t="s">
        <v>142</v>
      </c>
      <c r="Z4" s="42" t="s">
        <v>143</v>
      </c>
    </row>
    <row r="5" customFormat="false" ht="19.5" hidden="false" customHeight="true" outlineLevel="0" collapsed="false">
      <c r="A5" s="43" t="s">
        <v>144</v>
      </c>
      <c r="B5" s="44" t="s">
        <v>145</v>
      </c>
      <c r="C5" s="44" t="s">
        <v>146</v>
      </c>
      <c r="D5" s="43" t="s">
        <v>147</v>
      </c>
      <c r="E5" s="45" t="n">
        <v>4500000</v>
      </c>
      <c r="F5" s="46" t="n">
        <v>0.8</v>
      </c>
      <c r="G5" s="47" t="n">
        <f aca="false">IF($E5="","",MIN(1,MAX(0,(LOG10($E5)-LOG10(Nmin))/(LOG10(Nmax)-LOG10(Nmin)))))</f>
        <v>0.897188637042765</v>
      </c>
      <c r="H5" s="46" t="n">
        <v>0.85</v>
      </c>
      <c r="I5" s="46" t="n">
        <v>0.75</v>
      </c>
      <c r="J5" s="46" t="n">
        <v>0.2</v>
      </c>
      <c r="K5" s="46" t="n">
        <v>0.58</v>
      </c>
      <c r="L5" s="48" t="n">
        <v>4</v>
      </c>
      <c r="M5" s="47" t="n">
        <f aca="false">IF($L5="","",CHOOSE($L5,0.1,0.3,0.5,0.75,1))</f>
        <v>0.75</v>
      </c>
      <c r="N5" s="47" t="n">
        <f aca="false">IF(OR($F5="",$H5="",$I5=""),"",$F5*$H5*$I5)</f>
        <v>0.51</v>
      </c>
      <c r="O5" s="47" t="n">
        <f aca="false">IF(OR($N5="",$J5=""),"",$N5*(1-$J5))</f>
        <v>0.408</v>
      </c>
      <c r="P5" s="49" t="str">
        <f aca="false">IF($O5="","",IF($O5&lt;0.05,"1 · Low",IF($O5&lt;0.15,"2 · Moderate",IF($O5&lt;0.35,"3 · High",IF($O5&lt;0.6,"4 · Severe","5 · Critical")))))</f>
        <v>4 · Severe</v>
      </c>
      <c r="Q5" s="47" t="n">
        <f aca="false">IF(OR($N5="",$K5=""),"",$N5*(1-$K5))</f>
        <v>0.2142</v>
      </c>
      <c r="R5" s="49" t="str">
        <f aca="false">IF($Q5="","",IF($Q5&lt;0.05,"1 · Low",IF($Q5&lt;0.15,"2 · Moderate",IF($Q5&lt;0.35,"3 · High",IF($Q5&lt;0.6,"4 · Severe","5 · Critical")))))</f>
        <v>3 · High</v>
      </c>
      <c r="S5" s="50" t="n">
        <f aca="false">IF(OR($O5="",$Q5=""),"",($O5-$Q5)/$O5)</f>
        <v>0.475</v>
      </c>
      <c r="T5" s="47" t="n">
        <f aca="false">IF(OR($F5="",$M5="",$J5=""),"",$F5*$M5*(1-$J5))</f>
        <v>0.48</v>
      </c>
      <c r="U5" s="47" t="n">
        <f aca="false">IF(OR($F5="",$M5="",$K5=""),"",$F5*$M5*(1-$K5))</f>
        <v>0.252</v>
      </c>
      <c r="V5" s="51" t="n">
        <f aca="false">IF(OR($T5="",$E5=""),"",$T5/$E5*1000000)</f>
        <v>0.106666666666667</v>
      </c>
      <c r="W5" s="52" t="n">
        <f aca="false">IF($O5="","",COUNTIFS($P$5:$P$17,$P5,$T$5:$T$17,"&gt;"&amp;$T5)+1)</f>
        <v>3</v>
      </c>
      <c r="X5" s="53" t="n">
        <f aca="false">IF(OR($U5="",$E5=""),"",$U5/$E5*1000000)</f>
        <v>0.056</v>
      </c>
      <c r="Y5" s="54" t="n">
        <f aca="false">IF(OR($Q5="",$R5=""),"",COUNTIFS($R$5:$R$17,$R5,$U$5:$U$17,"&gt;"&amp;$U5)+1)</f>
        <v>3</v>
      </c>
      <c r="Z5" s="55" t="n">
        <f aca="false">IF(OR($S5="",$K5="",1-$K5=0),"",$S5/(1-$K5))</f>
        <v>1.13095238095238</v>
      </c>
    </row>
    <row r="6" customFormat="false" ht="19.5" hidden="false" customHeight="true" outlineLevel="0" collapsed="false">
      <c r="A6" s="56" t="s">
        <v>148</v>
      </c>
      <c r="B6" s="57" t="s">
        <v>149</v>
      </c>
      <c r="C6" s="57" t="s">
        <v>146</v>
      </c>
      <c r="D6" s="56" t="s">
        <v>150</v>
      </c>
      <c r="E6" s="45" t="n">
        <v>16000000</v>
      </c>
      <c r="F6" s="46" t="n">
        <v>0.9</v>
      </c>
      <c r="G6" s="58" t="n">
        <f aca="false">IF($E6="","",MIN(1,MAX(0,(LOG10($E6)-LOG10(Nmin))/(LOG10(Nmax)-LOG10(Nmin)))))</f>
        <v>0.984619972754495</v>
      </c>
      <c r="H6" s="46" t="n">
        <v>0.65</v>
      </c>
      <c r="I6" s="46" t="n">
        <v>0.8</v>
      </c>
      <c r="J6" s="46" t="n">
        <v>0.2</v>
      </c>
      <c r="K6" s="46" t="n">
        <v>0.55</v>
      </c>
      <c r="L6" s="48" t="n">
        <v>5</v>
      </c>
      <c r="M6" s="58" t="n">
        <f aca="false">IF($L6="","",CHOOSE($L6,0.1,0.3,0.5,0.75,1))</f>
        <v>1</v>
      </c>
      <c r="N6" s="58" t="n">
        <f aca="false">IF(OR($F6="",$H6="",$I6=""),"",$F6*$H6*$I6)</f>
        <v>0.468</v>
      </c>
      <c r="O6" s="58" t="n">
        <f aca="false">IF(OR($N6="",$J6=""),"",$N6*(1-$J6))</f>
        <v>0.3744</v>
      </c>
      <c r="P6" s="59" t="str">
        <f aca="false">IF($O6="","",IF($O6&lt;0.05,"1 · Low",IF($O6&lt;0.15,"2 · Moderate",IF($O6&lt;0.35,"3 · High",IF($O6&lt;0.6,"4 · Severe","5 · Critical")))))</f>
        <v>4 · Severe</v>
      </c>
      <c r="Q6" s="58" t="n">
        <f aca="false">IF(OR($N6="",$K6=""),"",$N6*(1-$K6))</f>
        <v>0.2106</v>
      </c>
      <c r="R6" s="59" t="str">
        <f aca="false">IF($Q6="","",IF($Q6&lt;0.05,"1 · Low",IF($Q6&lt;0.15,"2 · Moderate",IF($Q6&lt;0.35,"3 · High",IF($Q6&lt;0.6,"4 · Severe","5 · Critical")))))</f>
        <v>3 · High</v>
      </c>
      <c r="S6" s="60" t="n">
        <f aca="false">IF(OR($O6="",$Q6=""),"",($O6-$Q6)/$O6)</f>
        <v>0.4375</v>
      </c>
      <c r="T6" s="58" t="n">
        <f aca="false">IF(OR($F6="",$M6="",$J6=""),"",$F6*$M6*(1-$J6))</f>
        <v>0.72</v>
      </c>
      <c r="U6" s="58" t="n">
        <f aca="false">IF(OR($F6="",$M6="",$K6=""),"",$F6*$M6*(1-$K6))</f>
        <v>0.405</v>
      </c>
      <c r="V6" s="61" t="n">
        <f aca="false">IF(OR($T6="",$E6=""),"",$T6/$E6*1000000)</f>
        <v>0.045</v>
      </c>
      <c r="W6" s="62" t="n">
        <f aca="false">IF($O6="","",COUNTIFS($P$5:$P$17,$P6,$T$5:$T$17,"&gt;"&amp;$T6)+1)</f>
        <v>1</v>
      </c>
      <c r="X6" s="53" t="n">
        <f aca="false">IF(OR($U6="",$E6=""),"",$U6/$E6*1000000)</f>
        <v>0.0253125</v>
      </c>
      <c r="Y6" s="54" t="n">
        <f aca="false">IF(OR($Q6="",$R6=""),"",COUNTIFS($R$5:$R$17,$R6,$U$5:$U$17,"&gt;"&amp;$U6)+1)</f>
        <v>1</v>
      </c>
      <c r="Z6" s="55" t="n">
        <f aca="false">IF(OR($S6="",$K6="",1-$K6=0),"",$S6/(1-$K6))</f>
        <v>0.972222222222222</v>
      </c>
    </row>
    <row r="7" customFormat="false" ht="19.5" hidden="false" customHeight="true" outlineLevel="0" collapsed="false">
      <c r="A7" s="43" t="s">
        <v>151</v>
      </c>
      <c r="B7" s="44" t="s">
        <v>152</v>
      </c>
      <c r="C7" s="44" t="s">
        <v>146</v>
      </c>
      <c r="D7" s="43" t="s">
        <v>153</v>
      </c>
      <c r="E7" s="45" t="n">
        <v>1100000</v>
      </c>
      <c r="F7" s="46" t="n">
        <v>0.875</v>
      </c>
      <c r="G7" s="47" t="n">
        <f aca="false">IF($E7="","",MIN(1,MAX(0,(LOG10($E7)-LOG10(Nmin))/(LOG10(Nmax)-LOG10(Nmin)))))</f>
        <v>0.800090253280405</v>
      </c>
      <c r="H7" s="46" t="n">
        <v>0.8</v>
      </c>
      <c r="I7" s="46" t="n">
        <v>0.8</v>
      </c>
      <c r="J7" s="46" t="n">
        <v>0.25</v>
      </c>
      <c r="K7" s="46" t="n">
        <v>0.48</v>
      </c>
      <c r="L7" s="48" t="n">
        <v>4</v>
      </c>
      <c r="M7" s="47" t="n">
        <f aca="false">IF($L7="","",CHOOSE($L7,0.1,0.3,0.5,0.75,1))</f>
        <v>0.75</v>
      </c>
      <c r="N7" s="47" t="n">
        <f aca="false">IF(OR($F7="",$H7="",$I7=""),"",$F7*$H7*$I7)</f>
        <v>0.56</v>
      </c>
      <c r="O7" s="47" t="n">
        <f aca="false">IF(OR($N7="",$J7=""),"",$N7*(1-$J7))</f>
        <v>0.42</v>
      </c>
      <c r="P7" s="49" t="str">
        <f aca="false">IF($O7="","",IF($O7&lt;0.05,"1 · Low",IF($O7&lt;0.15,"2 · Moderate",IF($O7&lt;0.35,"3 · High",IF($O7&lt;0.6,"4 · Severe","5 · Critical")))))</f>
        <v>4 · Severe</v>
      </c>
      <c r="Q7" s="47" t="n">
        <f aca="false">IF(OR($N7="",$K7=""),"",$N7*(1-$K7))</f>
        <v>0.2912</v>
      </c>
      <c r="R7" s="49" t="str">
        <f aca="false">IF($Q7="","",IF($Q7&lt;0.05,"1 · Low",IF($Q7&lt;0.15,"2 · Moderate",IF($Q7&lt;0.35,"3 · High",IF($Q7&lt;0.6,"4 · Severe","5 · Critical")))))</f>
        <v>3 · High</v>
      </c>
      <c r="S7" s="50" t="n">
        <f aca="false">IF(OR($O7="",$Q7=""),"",($O7-$Q7)/$O7)</f>
        <v>0.306666666666667</v>
      </c>
      <c r="T7" s="47" t="n">
        <f aca="false">IF(OR($F7="",$M7="",$J7=""),"",$F7*$M7*(1-$J7))</f>
        <v>0.4921875</v>
      </c>
      <c r="U7" s="47" t="n">
        <f aca="false">IF(OR($F7="",$M7="",$K7=""),"",$F7*$M7*(1-$K7))</f>
        <v>0.34125</v>
      </c>
      <c r="V7" s="51" t="n">
        <f aca="false">IF(OR($T7="",$E7=""),"",$T7/$E7*1000000)</f>
        <v>0.447443181818182</v>
      </c>
      <c r="W7" s="52" t="n">
        <f aca="false">IF($O7="","",COUNTIFS($P$5:$P$17,$P7,$T$5:$T$17,"&gt;"&amp;$T7)+1)</f>
        <v>2</v>
      </c>
      <c r="X7" s="53" t="n">
        <f aca="false">IF(OR($U7="",$E7=""),"",$U7/$E7*1000000)</f>
        <v>0.310227272727273</v>
      </c>
      <c r="Y7" s="54" t="n">
        <f aca="false">IF(OR($Q7="",$R7=""),"",COUNTIFS($R$5:$R$17,$R7,$U$5:$U$17,"&gt;"&amp;$U7)+1)</f>
        <v>2</v>
      </c>
      <c r="Z7" s="55" t="n">
        <f aca="false">IF(OR($S7="",$K7="",1-$K7=0),"",$S7/(1-$K7))</f>
        <v>0.58974358974359</v>
      </c>
    </row>
    <row r="8" customFormat="false" ht="19.5" hidden="false" customHeight="true" outlineLevel="0" collapsed="false">
      <c r="A8" s="63" t="s">
        <v>154</v>
      </c>
      <c r="B8" s="57" t="s">
        <v>155</v>
      </c>
      <c r="C8" s="57" t="s">
        <v>156</v>
      </c>
      <c r="D8" s="56" t="s">
        <v>157</v>
      </c>
      <c r="E8" s="45" t="n">
        <v>4700000</v>
      </c>
      <c r="F8" s="46" t="n">
        <v>0.9</v>
      </c>
      <c r="G8" s="58" t="n">
        <f aca="false">IF($E8="","",MIN(1,MAX(0,(LOG10($E8)-LOG10(Nmin))/(LOG10(Nmax)-LOG10(Nmin)))))</f>
        <v>0.900185820705335</v>
      </c>
      <c r="H8" s="46" t="n">
        <v>0.88</v>
      </c>
      <c r="I8" s="46" t="n">
        <v>0.55</v>
      </c>
      <c r="J8" s="46" t="n">
        <v>0.55</v>
      </c>
      <c r="K8" s="46" t="n">
        <v>0.65</v>
      </c>
      <c r="L8" s="48" t="n">
        <v>4</v>
      </c>
      <c r="M8" s="58" t="n">
        <f aca="false">IF($L8="","",CHOOSE($L8,0.1,0.3,0.5,0.75,1))</f>
        <v>0.75</v>
      </c>
      <c r="N8" s="58" t="n">
        <f aca="false">IF(OR($F8="",$H8="",$I8=""),"",$F8*$H8*$I8)</f>
        <v>0.4356</v>
      </c>
      <c r="O8" s="58" t="n">
        <f aca="false">IF(OR($N8="",$J8=""),"",$N8*(1-$J8))</f>
        <v>0.19602</v>
      </c>
      <c r="P8" s="59" t="str">
        <f aca="false">IF($O8="","",IF($O8&lt;0.05,"1 · Low",IF($O8&lt;0.15,"2 · Moderate",IF($O8&lt;0.35,"3 · High",IF($O8&lt;0.6,"4 · Severe","5 · Critical")))))</f>
        <v>3 · High</v>
      </c>
      <c r="Q8" s="58" t="n">
        <f aca="false">IF(OR($N8="",$K8=""),"",$N8*(1-$K8))</f>
        <v>0.15246</v>
      </c>
      <c r="R8" s="59" t="str">
        <f aca="false">IF($Q8="","",IF($Q8&lt;0.05,"1 · Low",IF($Q8&lt;0.15,"2 · Moderate",IF($Q8&lt;0.35,"3 · High",IF($Q8&lt;0.6,"4 · Severe","5 · Critical")))))</f>
        <v>3 · High</v>
      </c>
      <c r="S8" s="60" t="n">
        <f aca="false">IF(OR($O8="",$Q8=""),"",($O8-$Q8)/$O8)</f>
        <v>0.222222222222222</v>
      </c>
      <c r="T8" s="58" t="n">
        <f aca="false">IF(OR($F8="",$M8="",$J8=""),"",$F8*$M8*(1-$J8))</f>
        <v>0.30375</v>
      </c>
      <c r="U8" s="58" t="n">
        <f aca="false">IF(OR($F8="",$M8="",$K8=""),"",$F8*$M8*(1-$K8))</f>
        <v>0.23625</v>
      </c>
      <c r="V8" s="61" t="n">
        <f aca="false">IF(OR($T8="",$E8=""),"",$T8/$E8*1000000)</f>
        <v>0.0646276595744681</v>
      </c>
      <c r="W8" s="62" t="n">
        <f aca="false">IF($O8="","",COUNTIFS($P$5:$P$17,$P8,$T$5:$T$17,"&gt;"&amp;$T8)+1)</f>
        <v>1</v>
      </c>
      <c r="X8" s="53" t="n">
        <f aca="false">IF(OR($U8="",$E8=""),"",$U8/$E8*1000000)</f>
        <v>0.0502659574468085</v>
      </c>
      <c r="Y8" s="54" t="n">
        <f aca="false">IF(OR($Q8="",$R8=""),"",COUNTIFS($R$5:$R$17,$R8,$U$5:$U$17,"&gt;"&amp;$U8)+1)</f>
        <v>4</v>
      </c>
      <c r="Z8" s="55" t="n">
        <f aca="false">IF(OR($S8="",$K8="",1-$K8=0),"",$S8/(1-$K8))</f>
        <v>0.634920634920635</v>
      </c>
    </row>
    <row r="9" customFormat="false" ht="19.5" hidden="false" customHeight="true" outlineLevel="0" collapsed="false">
      <c r="A9" s="43" t="s">
        <v>158</v>
      </c>
      <c r="B9" s="44" t="s">
        <v>159</v>
      </c>
      <c r="C9" s="44" t="s">
        <v>156</v>
      </c>
      <c r="D9" s="43" t="s">
        <v>160</v>
      </c>
      <c r="E9" s="45" t="n">
        <v>7400000</v>
      </c>
      <c r="F9" s="46" t="n">
        <v>0.85</v>
      </c>
      <c r="G9" s="47" t="n">
        <f aca="false">IF($E9="","",MIN(1,MAX(0,(LOG10($E9)-LOG10(Nmin))/(LOG10(Nmax)-LOG10(Nmin)))))</f>
        <v>0.931471794892241</v>
      </c>
      <c r="H9" s="46" t="n">
        <v>0.93</v>
      </c>
      <c r="I9" s="46" t="n">
        <v>0.78</v>
      </c>
      <c r="J9" s="46" t="n">
        <v>0.55</v>
      </c>
      <c r="K9" s="46" t="n">
        <v>0.7</v>
      </c>
      <c r="L9" s="48" t="n">
        <v>4</v>
      </c>
      <c r="M9" s="47" t="n">
        <f aca="false">IF($L9="","",CHOOSE($L9,0.1,0.3,0.5,0.75,1))</f>
        <v>0.75</v>
      </c>
      <c r="N9" s="47" t="n">
        <f aca="false">IF(OR($F9="",$H9="",$I9=""),"",$F9*$H9*$I9)</f>
        <v>0.61659</v>
      </c>
      <c r="O9" s="47" t="n">
        <f aca="false">IF(OR($N9="",$J9=""),"",$N9*(1-$J9))</f>
        <v>0.2774655</v>
      </c>
      <c r="P9" s="49" t="str">
        <f aca="false">IF($O9="","",IF($O9&lt;0.05,"1 · Low",IF($O9&lt;0.15,"2 · Moderate",IF($O9&lt;0.35,"3 · High",IF($O9&lt;0.6,"4 · Severe","5 · Critical")))))</f>
        <v>3 · High</v>
      </c>
      <c r="Q9" s="47" t="n">
        <f aca="false">IF(OR($N9="",$K9=""),"",$N9*(1-$K9))</f>
        <v>0.184977</v>
      </c>
      <c r="R9" s="49" t="str">
        <f aca="false">IF($Q9="","",IF($Q9&lt;0.05,"1 · Low",IF($Q9&lt;0.15,"2 · Moderate",IF($Q9&lt;0.35,"3 · High",IF($Q9&lt;0.6,"4 · Severe","5 · Critical")))))</f>
        <v>3 · High</v>
      </c>
      <c r="S9" s="50" t="n">
        <f aca="false">IF(OR($O9="",$Q9=""),"",($O9-$Q9)/$O9)</f>
        <v>0.333333333333333</v>
      </c>
      <c r="T9" s="47" t="n">
        <f aca="false">IF(OR($F9="",$M9="",$J9=""),"",$F9*$M9*(1-$J9))</f>
        <v>0.286875</v>
      </c>
      <c r="U9" s="47" t="n">
        <f aca="false">IF(OR($F9="",$M9="",$K9=""),"",$F9*$M9*(1-$K9))</f>
        <v>0.19125</v>
      </c>
      <c r="V9" s="51" t="n">
        <f aca="false">IF(OR($T9="",$E9=""),"",$T9/$E9*1000000)</f>
        <v>0.0387668918918919</v>
      </c>
      <c r="W9" s="52" t="n">
        <f aca="false">IF($O9="","",COUNTIFS($P$5:$P$17,$P9,$T$5:$T$17,"&gt;"&amp;$T9)+1)</f>
        <v>2</v>
      </c>
      <c r="X9" s="53" t="n">
        <f aca="false">IF(OR($U9="",$E9=""),"",$U9/$E9*1000000)</f>
        <v>0.0258445945945946</v>
      </c>
      <c r="Y9" s="54" t="n">
        <f aca="false">IF(OR($Q9="",$R9=""),"",COUNTIFS($R$5:$R$17,$R9,$U$5:$U$17,"&gt;"&amp;$U9)+1)</f>
        <v>5</v>
      </c>
      <c r="Z9" s="55" t="n">
        <f aca="false">IF(OR($S9="",$K9="",1-$K9=0),"",$S9/(1-$K9))</f>
        <v>1.11111111111111</v>
      </c>
    </row>
    <row r="10" customFormat="false" ht="19.5" hidden="false" customHeight="true" outlineLevel="0" collapsed="false">
      <c r="A10" s="56" t="s">
        <v>161</v>
      </c>
      <c r="B10" s="57" t="s">
        <v>162</v>
      </c>
      <c r="C10" s="57" t="s">
        <v>156</v>
      </c>
      <c r="D10" s="56" t="s">
        <v>163</v>
      </c>
      <c r="E10" s="45" t="n">
        <v>3360000</v>
      </c>
      <c r="F10" s="46" t="n">
        <v>0.8</v>
      </c>
      <c r="G10" s="58" t="n">
        <f aca="false">IF($E10="","",MIN(1,MAX(0,(LOG10($E10)-LOG10(Nmin))/(LOG10(Nmax)-LOG10(Nmin)))))</f>
        <v>0.877053320043352</v>
      </c>
      <c r="H10" s="46" t="n">
        <v>0.85</v>
      </c>
      <c r="I10" s="46" t="n">
        <v>0.72</v>
      </c>
      <c r="J10" s="46" t="n">
        <v>0.45</v>
      </c>
      <c r="K10" s="46" t="n">
        <v>0.6</v>
      </c>
      <c r="L10" s="48" t="n">
        <v>3</v>
      </c>
      <c r="M10" s="58" t="n">
        <f aca="false">IF($L10="","",CHOOSE($L10,0.1,0.3,0.5,0.75,1))</f>
        <v>0.5</v>
      </c>
      <c r="N10" s="58" t="n">
        <f aca="false">IF(OR($F10="",$H10="",$I10=""),"",$F10*$H10*$I10)</f>
        <v>0.4896</v>
      </c>
      <c r="O10" s="58" t="n">
        <f aca="false">IF(OR($N10="",$J10=""),"",$N10*(1-$J10))</f>
        <v>0.26928</v>
      </c>
      <c r="P10" s="59" t="str">
        <f aca="false">IF($O10="","",IF($O10&lt;0.05,"1 · Low",IF($O10&lt;0.15,"2 · Moderate",IF($O10&lt;0.35,"3 · High",IF($O10&lt;0.6,"4 · Severe","5 · Critical")))))</f>
        <v>3 · High</v>
      </c>
      <c r="Q10" s="58" t="n">
        <f aca="false">IF(OR($N10="",$K10=""),"",$N10*(1-$K10))</f>
        <v>0.19584</v>
      </c>
      <c r="R10" s="59" t="str">
        <f aca="false">IF($Q10="","",IF($Q10&lt;0.05,"1 · Low",IF($Q10&lt;0.15,"2 · Moderate",IF($Q10&lt;0.35,"3 · High",IF($Q10&lt;0.6,"4 · Severe","5 · Critical")))))</f>
        <v>3 · High</v>
      </c>
      <c r="S10" s="60" t="n">
        <f aca="false">IF(OR($O10="",$Q10=""),"",($O10-$Q10)/$O10)</f>
        <v>0.272727272727273</v>
      </c>
      <c r="T10" s="58" t="n">
        <f aca="false">IF(OR($F10="",$M10="",$J10=""),"",$F10*$M10*(1-$J10))</f>
        <v>0.22</v>
      </c>
      <c r="U10" s="58" t="n">
        <f aca="false">IF(OR($F10="",$M10="",$K10=""),"",$F10*$M10*(1-$K10))</f>
        <v>0.16</v>
      </c>
      <c r="V10" s="61" t="n">
        <f aca="false">IF(OR($T10="",$E10=""),"",$T10/$E10*1000000)</f>
        <v>0.0654761904761905</v>
      </c>
      <c r="W10" s="62" t="n">
        <f aca="false">IF($O10="","",COUNTIFS($P$5:$P$17,$P10,$T$5:$T$17,"&gt;"&amp;$T10)+1)</f>
        <v>4</v>
      </c>
      <c r="X10" s="53" t="n">
        <f aca="false">IF(OR($U10="",$E10=""),"",$U10/$E10*1000000)</f>
        <v>0.0476190476190476</v>
      </c>
      <c r="Y10" s="54" t="n">
        <f aca="false">IF(OR($Q10="",$R10=""),"",COUNTIFS($R$5:$R$17,$R10,$U$5:$U$17,"&gt;"&amp;$U10)+1)</f>
        <v>6</v>
      </c>
      <c r="Z10" s="55" t="n">
        <f aca="false">IF(OR($S10="",$K10="",1-$K10=0),"",$S10/(1-$K10))</f>
        <v>0.681818181818182</v>
      </c>
    </row>
    <row r="11" customFormat="false" ht="19.5" hidden="false" customHeight="true" outlineLevel="0" collapsed="false">
      <c r="A11" s="43" t="s">
        <v>164</v>
      </c>
      <c r="B11" s="44" t="s">
        <v>165</v>
      </c>
      <c r="C11" s="44" t="s">
        <v>166</v>
      </c>
      <c r="D11" s="43" t="s">
        <v>167</v>
      </c>
      <c r="E11" s="45" t="n">
        <v>21300</v>
      </c>
      <c r="F11" s="46" t="n">
        <v>0.4</v>
      </c>
      <c r="G11" s="47" t="n">
        <f aca="false">IF($E11="","",MIN(1,MAX(0,(LOG10($E11)-LOG10(Nmin))/(LOG10(Nmax)-LOG10(Nmin)))))</f>
        <v>0.528227862068447</v>
      </c>
      <c r="H11" s="46" t="n">
        <v>0.9</v>
      </c>
      <c r="I11" s="46" t="n">
        <v>0.4</v>
      </c>
      <c r="J11" s="46" t="n">
        <v>0.2</v>
      </c>
      <c r="K11" s="46" t="n">
        <v>0.35</v>
      </c>
      <c r="L11" s="48" t="n">
        <v>4</v>
      </c>
      <c r="M11" s="47" t="n">
        <f aca="false">IF($L11="","",CHOOSE($L11,0.1,0.3,0.5,0.75,1))</f>
        <v>0.75</v>
      </c>
      <c r="N11" s="47" t="n">
        <f aca="false">IF(OR($F11="",$H11="",$I11=""),"",$F11*$H11*$I11)</f>
        <v>0.144</v>
      </c>
      <c r="O11" s="47" t="n">
        <f aca="false">IF(OR($N11="",$J11=""),"",$N11*(1-$J11))</f>
        <v>0.1152</v>
      </c>
      <c r="P11" s="49" t="str">
        <f aca="false">IF($O11="","",IF($O11&lt;0.05,"1 · Low",IF($O11&lt;0.15,"2 · Moderate",IF($O11&lt;0.35,"3 · High",IF($O11&lt;0.6,"4 · Severe","5 · Critical")))))</f>
        <v>2 · Moderate</v>
      </c>
      <c r="Q11" s="47" t="n">
        <f aca="false">IF(OR($N11="",$K11=""),"",$N11*(1-$K11))</f>
        <v>0.0936</v>
      </c>
      <c r="R11" s="49" t="str">
        <f aca="false">IF($Q11="","",IF($Q11&lt;0.05,"1 · Low",IF($Q11&lt;0.15,"2 · Moderate",IF($Q11&lt;0.35,"3 · High",IF($Q11&lt;0.6,"4 · Severe","5 · Critical")))))</f>
        <v>2 · Moderate</v>
      </c>
      <c r="S11" s="50" t="n">
        <f aca="false">IF(OR($O11="",$Q11=""),"",($O11-$Q11)/$O11)</f>
        <v>0.1875</v>
      </c>
      <c r="T11" s="47" t="n">
        <f aca="false">IF(OR($F11="",$M11="",$J11=""),"",$F11*$M11*(1-$J11))</f>
        <v>0.24</v>
      </c>
      <c r="U11" s="47" t="n">
        <f aca="false">IF(OR($F11="",$M11="",$K11=""),"",$F11*$M11*(1-$K11))</f>
        <v>0.195</v>
      </c>
      <c r="V11" s="51" t="n">
        <f aca="false">IF(OR($T11="",$E11=""),"",$T11/$E11*1000000)</f>
        <v>11.2676056338028</v>
      </c>
      <c r="W11" s="52" t="n">
        <f aca="false">IF($O11="","",COUNTIFS($P$5:$P$17,$P11,$T$5:$T$17,"&gt;"&amp;$T11)+1)</f>
        <v>1</v>
      </c>
      <c r="X11" s="53" t="n">
        <f aca="false">IF(OR($U11="",$E11=""),"",$U11/$E11*1000000)</f>
        <v>9.15492957746479</v>
      </c>
      <c r="Y11" s="54" t="n">
        <f aca="false">IF(OR($Q11="",$R11=""),"",COUNTIFS($R$5:$R$17,$R11,$U$5:$U$17,"&gt;"&amp;$U11)+1)</f>
        <v>1</v>
      </c>
      <c r="Z11" s="55" t="n">
        <f aca="false">IF(OR($S11="",$K11="",1-$K11=0),"",$S11/(1-$K11))</f>
        <v>0.288461538461539</v>
      </c>
    </row>
    <row r="12" customFormat="false" ht="19.5" hidden="false" customHeight="true" outlineLevel="0" collapsed="false">
      <c r="A12" s="56" t="s">
        <v>168</v>
      </c>
      <c r="B12" s="57" t="s">
        <v>165</v>
      </c>
      <c r="C12" s="57" t="s">
        <v>166</v>
      </c>
      <c r="D12" s="56" t="s">
        <v>169</v>
      </c>
      <c r="E12" s="45" t="n">
        <v>23000</v>
      </c>
      <c r="F12" s="46" t="n">
        <v>0.4</v>
      </c>
      <c r="G12" s="58" t="n">
        <f aca="false">IF($E12="","",MIN(1,MAX(0,(LOG10($E12)-LOG10(Nmin))/(LOG10(Nmax)-LOG10(Nmin)))))</f>
        <v>0.533520367040142</v>
      </c>
      <c r="H12" s="46" t="n">
        <v>0.8</v>
      </c>
      <c r="I12" s="46" t="n">
        <v>0.6</v>
      </c>
      <c r="J12" s="46" t="n">
        <v>0.2</v>
      </c>
      <c r="K12" s="46" t="n">
        <v>0.35</v>
      </c>
      <c r="L12" s="48" t="n">
        <v>4</v>
      </c>
      <c r="M12" s="58" t="n">
        <f aca="false">IF($L12="","",CHOOSE($L12,0.1,0.3,0.5,0.75,1))</f>
        <v>0.75</v>
      </c>
      <c r="N12" s="58" t="n">
        <f aca="false">IF(OR($F12="",$H12="",$I12=""),"",$F12*$H12*$I12)</f>
        <v>0.192</v>
      </c>
      <c r="O12" s="58" t="n">
        <f aca="false">IF(OR($N12="",$J12=""),"",$N12*(1-$J12))</f>
        <v>0.1536</v>
      </c>
      <c r="P12" s="59" t="str">
        <f aca="false">IF($O12="","",IF($O12&lt;0.05,"1 · Low",IF($O12&lt;0.15,"2 · Moderate",IF($O12&lt;0.35,"3 · High",IF($O12&lt;0.6,"4 · Severe","5 · Critical")))))</f>
        <v>3 · High</v>
      </c>
      <c r="Q12" s="58" t="n">
        <f aca="false">IF(OR($N12="",$K12=""),"",$N12*(1-$K12))</f>
        <v>0.1248</v>
      </c>
      <c r="R12" s="59" t="str">
        <f aca="false">IF($Q12="","",IF($Q12&lt;0.05,"1 · Low",IF($Q12&lt;0.15,"2 · Moderate",IF($Q12&lt;0.35,"3 · High",IF($Q12&lt;0.6,"4 · Severe","5 · Critical")))))</f>
        <v>2 · Moderate</v>
      </c>
      <c r="S12" s="60" t="n">
        <f aca="false">IF(OR($O12="",$Q12=""),"",($O12-$Q12)/$O12)</f>
        <v>0.1875</v>
      </c>
      <c r="T12" s="58" t="n">
        <f aca="false">IF(OR($F12="",$M12="",$J12=""),"",$F12*$M12*(1-$J12))</f>
        <v>0.24</v>
      </c>
      <c r="U12" s="58" t="n">
        <f aca="false">IF(OR($F12="",$M12="",$K12=""),"",$F12*$M12*(1-$K12))</f>
        <v>0.195</v>
      </c>
      <c r="V12" s="61" t="n">
        <f aca="false">IF(OR($T12="",$E12=""),"",$T12/$E12*1000000)</f>
        <v>10.4347826086957</v>
      </c>
      <c r="W12" s="62" t="n">
        <f aca="false">IF($O12="","",COUNTIFS($P$5:$P$17,$P12,$T$5:$T$17,"&gt;"&amp;$T12)+1)</f>
        <v>3</v>
      </c>
      <c r="X12" s="53" t="n">
        <f aca="false">IF(OR($U12="",$E12=""),"",$U12/$E12*1000000)</f>
        <v>8.47826086956522</v>
      </c>
      <c r="Y12" s="54" t="n">
        <f aca="false">IF(OR($Q12="",$R12=""),"",COUNTIFS($R$5:$R$17,$R12,$U$5:$U$17,"&gt;"&amp;$U12)+1)</f>
        <v>1</v>
      </c>
      <c r="Z12" s="55" t="n">
        <f aca="false">IF(OR($S12="",$K12="",1-$K12=0),"",$S12/(1-$K12))</f>
        <v>0.288461538461539</v>
      </c>
    </row>
    <row r="13" customFormat="false" ht="19.5" hidden="false" customHeight="true" outlineLevel="0" collapsed="false">
      <c r="A13" s="43"/>
      <c r="B13" s="44"/>
      <c r="C13" s="44"/>
      <c r="D13" s="43"/>
      <c r="E13" s="45"/>
      <c r="F13" s="46"/>
      <c r="G13" s="47" t="str">
        <f aca="false">IF($E13="","",MIN(1,MAX(0,(LOG10($E13)-LOG10(Nmin))/(LOG10(Nmax)-LOG10(Nmin)))))</f>
        <v/>
      </c>
      <c r="H13" s="46"/>
      <c r="I13" s="46"/>
      <c r="J13" s="46"/>
      <c r="K13" s="46"/>
      <c r="L13" s="48"/>
      <c r="M13" s="47" t="str">
        <f aca="false">IF($L13="","",CHOOSE($L13,0.1,0.3,0.5,0.75,1))</f>
        <v/>
      </c>
      <c r="N13" s="47" t="str">
        <f aca="false">IF(OR($F13="",$H13="",$I13=""),"",$F13*$H13*$I13)</f>
        <v/>
      </c>
      <c r="O13" s="47" t="str">
        <f aca="false">IF(OR($N13="",$J13=""),"",$N13*(1-$J13))</f>
        <v/>
      </c>
      <c r="P13" s="49" t="str">
        <f aca="false">IF($O13="","",IF($O13&lt;0.05,"1 · Low",IF($O13&lt;0.15,"2 · Moderate",IF($O13&lt;0.35,"3 · High",IF($O13&lt;0.6,"4 · Severe","5 · Critical")))))</f>
        <v/>
      </c>
      <c r="Q13" s="47" t="str">
        <f aca="false">IF(OR($N13="",$K13=""),"",$N13*(1-$K13))</f>
        <v/>
      </c>
      <c r="R13" s="49" t="str">
        <f aca="false">IF($Q13="","",IF($Q13&lt;0.05,"1 · Low",IF($Q13&lt;0.15,"2 · Moderate",IF($Q13&lt;0.35,"3 · High",IF($Q13&lt;0.6,"4 · Severe","5 · Critical")))))</f>
        <v/>
      </c>
      <c r="S13" s="50" t="str">
        <f aca="false">IF(OR($O13="",$Q13=""),"",($O13-$Q13)/$O13)</f>
        <v/>
      </c>
      <c r="T13" s="47" t="str">
        <f aca="false">IF(OR($F13="",$M13="",$J13=""),"",$F13*$M13*(1-$J13))</f>
        <v/>
      </c>
      <c r="U13" s="47" t="str">
        <f aca="false">IF(OR($F13="",$M13="",$K13=""),"",$F13*$M13*(1-$K13))</f>
        <v/>
      </c>
      <c r="V13" s="51" t="str">
        <f aca="false">IF(OR($T13="",$E13=""),"",$T13/$E13*1000000)</f>
        <v/>
      </c>
      <c r="W13" s="52" t="str">
        <f aca="false">IF($O13="","",COUNTIFS($P$5:$P$17,$P13,$T$5:$T$17,"&gt;"&amp;$T13)+1)</f>
        <v/>
      </c>
      <c r="X13" s="53" t="str">
        <f aca="false">IF(OR($U13="",$E13=""),"",$U13/$E13*1000000)</f>
        <v/>
      </c>
      <c r="Y13" s="54" t="str">
        <f aca="false">IF(OR($Q13="",$R13=""),"",COUNTIFS($R$5:$R$17,$R13,$U$5:$U$17,"&gt;"&amp;$U13)+1)</f>
        <v/>
      </c>
      <c r="Z13" s="55" t="str">
        <f aca="false">IF(OR($S13="",$K13="",1-$K13=0),"",$S13/(1-$K13))</f>
        <v/>
      </c>
    </row>
    <row r="14" customFormat="false" ht="19.5" hidden="false" customHeight="true" outlineLevel="0" collapsed="false">
      <c r="A14" s="56"/>
      <c r="B14" s="57"/>
      <c r="C14" s="57"/>
      <c r="D14" s="56"/>
      <c r="E14" s="45"/>
      <c r="F14" s="46"/>
      <c r="G14" s="58" t="str">
        <f aca="false">IF($E14="","",MIN(1,MAX(0,(LOG10($E14)-LOG10(Nmin))/(LOG10(Nmax)-LOG10(Nmin)))))</f>
        <v/>
      </c>
      <c r="H14" s="46"/>
      <c r="I14" s="46"/>
      <c r="J14" s="46"/>
      <c r="K14" s="46"/>
      <c r="L14" s="48"/>
      <c r="M14" s="58" t="str">
        <f aca="false">IF($L14="","",CHOOSE($L14,0.1,0.3,0.5,0.75,1))</f>
        <v/>
      </c>
      <c r="N14" s="58" t="str">
        <f aca="false">IF(OR($F14="",$H14="",$I14=""),"",$F14*$H14*$I14)</f>
        <v/>
      </c>
      <c r="O14" s="58" t="str">
        <f aca="false">IF(OR($N14="",$J14=""),"",$N14*(1-$J14))</f>
        <v/>
      </c>
      <c r="P14" s="59" t="str">
        <f aca="false">IF($O14="","",IF($O14&lt;0.05,"1 · Low",IF($O14&lt;0.15,"2 · Moderate",IF($O14&lt;0.35,"3 · High",IF($O14&lt;0.6,"4 · Severe","5 · Critical")))))</f>
        <v/>
      </c>
      <c r="Q14" s="58" t="str">
        <f aca="false">IF(OR($N14="",$K14=""),"",$N14*(1-$K14))</f>
        <v/>
      </c>
      <c r="R14" s="59" t="str">
        <f aca="false">IF($Q14="","",IF($Q14&lt;0.05,"1 · Low",IF($Q14&lt;0.15,"2 · Moderate",IF($Q14&lt;0.35,"3 · High",IF($Q14&lt;0.6,"4 · Severe","5 · Critical")))))</f>
        <v/>
      </c>
      <c r="S14" s="60" t="str">
        <f aca="false">IF(OR($O14="",$Q14=""),"",($O14-$Q14)/$O14)</f>
        <v/>
      </c>
      <c r="T14" s="58" t="str">
        <f aca="false">IF(OR($F14="",$M14="",$J14=""),"",$F14*$M14*(1-$J14))</f>
        <v/>
      </c>
      <c r="U14" s="58" t="str">
        <f aca="false">IF(OR($F14="",$M14="",$K14=""),"",$F14*$M14*(1-$K14))</f>
        <v/>
      </c>
      <c r="V14" s="61" t="str">
        <f aca="false">IF(OR($T14="",$E14=""),"",$T14/$E14*1000000)</f>
        <v/>
      </c>
      <c r="W14" s="62" t="str">
        <f aca="false">IF($O14="","",COUNTIFS($P$5:$P$17,$P14,$T$5:$T$17,"&gt;"&amp;$T14)+1)</f>
        <v/>
      </c>
      <c r="X14" s="53" t="str">
        <f aca="false">IF(OR($U14="",$E14=""),"",$U14/$E14*1000000)</f>
        <v/>
      </c>
      <c r="Y14" s="54" t="str">
        <f aca="false">IF(OR($Q14="",$R14=""),"",COUNTIFS($R$5:$R$17,$R14,$U$5:$U$17,"&gt;"&amp;$U14)+1)</f>
        <v/>
      </c>
      <c r="Z14" s="55" t="str">
        <f aca="false">IF(OR($S14="",$K14="",1-$K14=0),"",$S14/(1-$K14))</f>
        <v/>
      </c>
    </row>
    <row r="15" customFormat="false" ht="19.5" hidden="false" customHeight="true" outlineLevel="0" collapsed="false">
      <c r="A15" s="43"/>
      <c r="B15" s="44"/>
      <c r="C15" s="44"/>
      <c r="D15" s="43"/>
      <c r="E15" s="45"/>
      <c r="F15" s="46"/>
      <c r="G15" s="47" t="str">
        <f aca="false">IF($E15="","",MIN(1,MAX(0,(LOG10($E15)-LOG10(Nmin))/(LOG10(Nmax)-LOG10(Nmin)))))</f>
        <v/>
      </c>
      <c r="H15" s="46"/>
      <c r="I15" s="46"/>
      <c r="J15" s="46"/>
      <c r="K15" s="46"/>
      <c r="L15" s="48"/>
      <c r="M15" s="47" t="str">
        <f aca="false">IF($L15="","",CHOOSE($L15,0.1,0.3,0.5,0.75,1))</f>
        <v/>
      </c>
      <c r="N15" s="47" t="str">
        <f aca="false">IF(OR($F15="",$H15="",$I15=""),"",$F15*$H15*$I15)</f>
        <v/>
      </c>
      <c r="O15" s="47" t="str">
        <f aca="false">IF(OR($N15="",$J15=""),"",$N15*(1-$J15))</f>
        <v/>
      </c>
      <c r="P15" s="49" t="str">
        <f aca="false">IF($O15="","",IF($O15&lt;0.05,"1 · Low",IF($O15&lt;0.15,"2 · Moderate",IF($O15&lt;0.35,"3 · High",IF($O15&lt;0.6,"4 · Severe","5 · Critical")))))</f>
        <v/>
      </c>
      <c r="Q15" s="47" t="str">
        <f aca="false">IF(OR($N15="",$K15=""),"",$N15*(1-$K15))</f>
        <v/>
      </c>
      <c r="R15" s="49" t="str">
        <f aca="false">IF($Q15="","",IF($Q15&lt;0.05,"1 · Low",IF($Q15&lt;0.15,"2 · Moderate",IF($Q15&lt;0.35,"3 · High",IF($Q15&lt;0.6,"4 · Severe","5 · Critical")))))</f>
        <v/>
      </c>
      <c r="S15" s="50" t="str">
        <f aca="false">IF(OR($O15="",$Q15=""),"",($O15-$Q15)/$O15)</f>
        <v/>
      </c>
      <c r="T15" s="47" t="str">
        <f aca="false">IF(OR($F15="",$M15="",$J15=""),"",$F15*$M15*(1-$J15))</f>
        <v/>
      </c>
      <c r="U15" s="47" t="str">
        <f aca="false">IF(OR($F15="",$M15="",$K15=""),"",$F15*$M15*(1-$K15))</f>
        <v/>
      </c>
      <c r="V15" s="51" t="str">
        <f aca="false">IF(OR($T15="",$E15=""),"",$T15/$E15*1000000)</f>
        <v/>
      </c>
      <c r="W15" s="52" t="str">
        <f aca="false">IF($O15="","",COUNTIFS($P$5:$P$17,$P15,$T$5:$T$17,"&gt;"&amp;$T15)+1)</f>
        <v/>
      </c>
      <c r="X15" s="53" t="str">
        <f aca="false">IF(OR($U15="",$E15=""),"",$U15/$E15*1000000)</f>
        <v/>
      </c>
      <c r="Y15" s="54" t="str">
        <f aca="false">IF(OR($Q15="",$R15=""),"",COUNTIFS($R$5:$R$17,$R15,$U$5:$U$17,"&gt;"&amp;$U15)+1)</f>
        <v/>
      </c>
      <c r="Z15" s="55" t="str">
        <f aca="false">IF(OR($S15="",$K15="",1-$K15=0),"",$S15/(1-$K15))</f>
        <v/>
      </c>
    </row>
    <row r="16" customFormat="false" ht="19.5" hidden="false" customHeight="true" outlineLevel="0" collapsed="false">
      <c r="A16" s="56"/>
      <c r="B16" s="57"/>
      <c r="C16" s="57"/>
      <c r="D16" s="56"/>
      <c r="E16" s="45"/>
      <c r="F16" s="46"/>
      <c r="G16" s="58" t="str">
        <f aca="false">IF($E16="","",MIN(1,MAX(0,(LOG10($E16)-LOG10(Nmin))/(LOG10(Nmax)-LOG10(Nmin)))))</f>
        <v/>
      </c>
      <c r="H16" s="46"/>
      <c r="I16" s="46"/>
      <c r="J16" s="46"/>
      <c r="K16" s="46"/>
      <c r="L16" s="48"/>
      <c r="M16" s="58" t="str">
        <f aca="false">IF($L16="","",CHOOSE($L16,0.1,0.3,0.5,0.75,1))</f>
        <v/>
      </c>
      <c r="N16" s="58" t="str">
        <f aca="false">IF(OR($F16="",$H16="",$I16=""),"",$F16*$H16*$I16)</f>
        <v/>
      </c>
      <c r="O16" s="58" t="str">
        <f aca="false">IF(OR($N16="",$J16=""),"",$N16*(1-$J16))</f>
        <v/>
      </c>
      <c r="P16" s="59" t="str">
        <f aca="false">IF($O16="","",IF($O16&lt;0.05,"1 · Low",IF($O16&lt;0.15,"2 · Moderate",IF($O16&lt;0.35,"3 · High",IF($O16&lt;0.6,"4 · Severe","5 · Critical")))))</f>
        <v/>
      </c>
      <c r="Q16" s="58" t="str">
        <f aca="false">IF(OR($N16="",$K16=""),"",$N16*(1-$K16))</f>
        <v/>
      </c>
      <c r="R16" s="59" t="str">
        <f aca="false">IF($Q16="","",IF($Q16&lt;0.05,"1 · Low",IF($Q16&lt;0.15,"2 · Moderate",IF($Q16&lt;0.35,"3 · High",IF($Q16&lt;0.6,"4 · Severe","5 · Critical")))))</f>
        <v/>
      </c>
      <c r="S16" s="60" t="str">
        <f aca="false">IF(OR($O16="",$Q16=""),"",($O16-$Q16)/$O16)</f>
        <v/>
      </c>
      <c r="T16" s="58" t="str">
        <f aca="false">IF(OR($F16="",$M16="",$J16=""),"",$F16*$M16*(1-$J16))</f>
        <v/>
      </c>
      <c r="U16" s="58" t="str">
        <f aca="false">IF(OR($F16="",$M16="",$K16=""),"",$F16*$M16*(1-$K16))</f>
        <v/>
      </c>
      <c r="V16" s="61" t="str">
        <f aca="false">IF(OR($T16="",$E16=""),"",$T16/$E16*1000000)</f>
        <v/>
      </c>
      <c r="W16" s="62" t="str">
        <f aca="false">IF($O16="","",COUNTIFS($P$5:$P$17,$P16,$T$5:$T$17,"&gt;"&amp;$T16)+1)</f>
        <v/>
      </c>
      <c r="X16" s="53" t="str">
        <f aca="false">IF(OR($U16="",$E16=""),"",$U16/$E16*1000000)</f>
        <v/>
      </c>
      <c r="Y16" s="54" t="str">
        <f aca="false">IF(OR($Q16="",$R16=""),"",COUNTIFS($R$5:$R$17,$R16,$U$5:$U$17,"&gt;"&amp;$U16)+1)</f>
        <v/>
      </c>
      <c r="Z16" s="55" t="str">
        <f aca="false">IF(OR($S16="",$K16="",1-$K16=0),"",$S16/(1-$K16))</f>
        <v/>
      </c>
    </row>
    <row r="17" customFormat="false" ht="19.5" hidden="false" customHeight="true" outlineLevel="0" collapsed="false">
      <c r="A17" s="43"/>
      <c r="B17" s="44"/>
      <c r="C17" s="44"/>
      <c r="D17" s="43"/>
      <c r="E17" s="45"/>
      <c r="F17" s="46"/>
      <c r="G17" s="47" t="str">
        <f aca="false">IF($E17="","",MIN(1,MAX(0,(LOG10($E17)-LOG10(Nmin))/(LOG10(Nmax)-LOG10(Nmin)))))</f>
        <v/>
      </c>
      <c r="H17" s="46"/>
      <c r="I17" s="46"/>
      <c r="J17" s="46"/>
      <c r="K17" s="46"/>
      <c r="L17" s="48"/>
      <c r="M17" s="47" t="str">
        <f aca="false">IF($L17="","",CHOOSE($L17,0.1,0.3,0.5,0.75,1))</f>
        <v/>
      </c>
      <c r="N17" s="47" t="str">
        <f aca="false">IF(OR($F17="",$H17="",$I17=""),"",$F17*$H17*$I17)</f>
        <v/>
      </c>
      <c r="O17" s="47" t="str">
        <f aca="false">IF(OR($N17="",$J17=""),"",$N17*(1-$J17))</f>
        <v/>
      </c>
      <c r="P17" s="49" t="str">
        <f aca="false">IF($O17="","",IF($O17&lt;0.05,"1 · Low",IF($O17&lt;0.15,"2 · Moderate",IF($O17&lt;0.35,"3 · High",IF($O17&lt;0.6,"4 · Severe","5 · Critical")))))</f>
        <v/>
      </c>
      <c r="Q17" s="47" t="str">
        <f aca="false">IF(OR($N17="",$K17=""),"",$N17*(1-$K17))</f>
        <v/>
      </c>
      <c r="R17" s="49" t="str">
        <f aca="false">IF($Q17="","",IF($Q17&lt;0.05,"1 · Low",IF($Q17&lt;0.15,"2 · Moderate",IF($Q17&lt;0.35,"3 · High",IF($Q17&lt;0.6,"4 · Severe","5 · Critical")))))</f>
        <v/>
      </c>
      <c r="S17" s="50" t="str">
        <f aca="false">IF(OR($O17="",$Q17=""),"",($O17-$Q17)/$O17)</f>
        <v/>
      </c>
      <c r="T17" s="47" t="str">
        <f aca="false">IF(OR($F17="",$M17="",$J17=""),"",$F17*$M17*(1-$J17))</f>
        <v/>
      </c>
      <c r="U17" s="47" t="str">
        <f aca="false">IF(OR($F17="",$M17="",$K17=""),"",$F17*$M17*(1-$K17))</f>
        <v/>
      </c>
      <c r="V17" s="51" t="str">
        <f aca="false">IF(OR($T17="",$E17=""),"",$T17/$E17*1000000)</f>
        <v/>
      </c>
      <c r="W17" s="52" t="str">
        <f aca="false">IF($O17="","",COUNTIFS($P$5:$P$17,$P17,$T$5:$T$17,"&gt;"&amp;$T17)+1)</f>
        <v/>
      </c>
      <c r="X17" s="53" t="str">
        <f aca="false">IF(OR($U17="",$E17=""),"",$U17/$E17*1000000)</f>
        <v/>
      </c>
      <c r="Y17" s="54" t="str">
        <f aca="false">IF(OR($Q17="",$R17=""),"",COUNTIFS($R$5:$R$17,$R17,$U$5:$U$17,"&gt;"&amp;$U17)+1)</f>
        <v/>
      </c>
      <c r="Z17" s="55" t="str">
        <f aca="false">IF(OR($S17="",$K17="",1-$K17=0),"",$S17/(1-$K17))</f>
        <v/>
      </c>
    </row>
    <row r="19" customFormat="false" ht="39.75" hidden="false" customHeight="true" outlineLevel="0" collapsed="false">
      <c r="A19" s="64" t="s">
        <v>170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customFormat="false" ht="27.75" hidden="false" customHeight="true" outlineLevel="0" collapsed="false">
      <c r="A20" s="65" t="s">
        <v>19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sheetData>
  <mergeCells count="4">
    <mergeCell ref="A1:Z1"/>
    <mergeCell ref="A2:Z2"/>
    <mergeCell ref="A19:Z19"/>
    <mergeCell ref="A20:Z20"/>
  </mergeCells>
  <conditionalFormatting sqref="O5:O17">
    <cfRule type="cellIs" priority="2" operator="greaterThanOrEqual" aboveAverage="0" equalAverage="0" bottom="0" percent="0" rank="0" text="" dxfId="0">
      <formula>0.6</formula>
    </cfRule>
    <cfRule type="cellIs" priority="3" operator="between" aboveAverage="0" equalAverage="0" bottom="0" percent="0" rank="0" text="" dxfId="1">
      <formula>0.35</formula>
      <formula>0.5999999</formula>
    </cfRule>
    <cfRule type="cellIs" priority="4" operator="between" aboveAverage="0" equalAverage="0" bottom="0" percent="0" rank="0" text="" dxfId="2">
      <formula>0.15</formula>
      <formula>0.3499999</formula>
    </cfRule>
    <cfRule type="cellIs" priority="5" operator="between" aboveAverage="0" equalAverage="0" bottom="0" percent="0" rank="0" text="" dxfId="3">
      <formula>0.05</formula>
      <formula>0.1499999</formula>
    </cfRule>
    <cfRule type="cellIs" priority="6" operator="lessThan" aboveAverage="0" equalAverage="0" bottom="0" percent="0" rank="0" text="" dxfId="4">
      <formula>0.05</formula>
    </cfRule>
  </conditionalFormatting>
  <conditionalFormatting sqref="Q5:Q17">
    <cfRule type="cellIs" priority="7" operator="greaterThanOrEqual" aboveAverage="0" equalAverage="0" bottom="0" percent="0" rank="0" text="" dxfId="0">
      <formula>0.6</formula>
    </cfRule>
    <cfRule type="cellIs" priority="8" operator="between" aboveAverage="0" equalAverage="0" bottom="0" percent="0" rank="0" text="" dxfId="1">
      <formula>0.35</formula>
      <formula>0.5999999</formula>
    </cfRule>
    <cfRule type="cellIs" priority="9" operator="between" aboveAverage="0" equalAverage="0" bottom="0" percent="0" rank="0" text="" dxfId="2">
      <formula>0.15</formula>
      <formula>0.3499999</formula>
    </cfRule>
    <cfRule type="cellIs" priority="10" operator="between" aboveAverage="0" equalAverage="0" bottom="0" percent="0" rank="0" text="" dxfId="3">
      <formula>0.05</formula>
      <formula>0.1499999</formula>
    </cfRule>
    <cfRule type="cellIs" priority="11" operator="lessThan" aboveAverage="0" equalAverage="0" bottom="0" percent="0" rank="0" text="" dxfId="4">
      <formula>0.05</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3"/>
    <col collapsed="false" customWidth="true" hidden="false" outlineLevel="0" max="6" min="6" style="1" width="11"/>
    <col collapsed="false" customWidth="true" hidden="false" outlineLevel="0" max="7" min="7" style="1" width="10"/>
    <col collapsed="false" customWidth="true" hidden="false" outlineLevel="0" max="9" min="9" style="1" width="16"/>
    <col collapsed="false" customWidth="true" hidden="false" outlineLevel="0" max="10" min="10" style="1" width="12"/>
    <col collapsed="false" customWidth="true" hidden="false" outlineLevel="0" max="11" min="11" style="1" width="46"/>
  </cols>
  <sheetData>
    <row r="1" customFormat="false" ht="21.75" hidden="false" customHeight="true" outlineLevel="0" collapsed="false">
      <c r="A1" s="66" t="s">
        <v>171</v>
      </c>
      <c r="B1" s="67"/>
      <c r="C1" s="67"/>
      <c r="D1" s="67"/>
      <c r="E1" s="67"/>
      <c r="F1" s="67"/>
      <c r="G1" s="67"/>
      <c r="H1" s="67"/>
      <c r="I1" s="67"/>
      <c r="J1" s="67"/>
      <c r="K1" s="67"/>
    </row>
    <row r="2" customFormat="false" ht="30" hidden="false" customHeight="true" outlineLevel="0" collapsed="false">
      <c r="A2" s="68" t="s">
        <v>172</v>
      </c>
      <c r="B2" s="68"/>
      <c r="C2" s="68"/>
      <c r="D2" s="68"/>
      <c r="E2" s="68"/>
      <c r="F2" s="68"/>
      <c r="G2" s="68"/>
      <c r="H2" s="68"/>
      <c r="I2" s="68"/>
      <c r="J2" s="68"/>
      <c r="K2" s="68"/>
    </row>
    <row r="3" customFormat="false" ht="15" hidden="false" customHeight="true" outlineLevel="0" collapsed="false">
      <c r="A3" s="67"/>
      <c r="B3" s="67"/>
      <c r="C3" s="67"/>
      <c r="D3" s="67"/>
      <c r="E3" s="67"/>
      <c r="F3" s="67"/>
      <c r="G3" s="67"/>
      <c r="H3" s="67"/>
      <c r="I3" s="67"/>
      <c r="J3" s="67"/>
      <c r="K3" s="67"/>
    </row>
    <row r="4" customFormat="false" ht="15" hidden="false" customHeight="true" outlineLevel="0" collapsed="false">
      <c r="A4" s="69" t="s">
        <v>173</v>
      </c>
      <c r="B4" s="67"/>
      <c r="C4" s="67"/>
      <c r="D4" s="67"/>
      <c r="E4" s="67"/>
      <c r="F4" s="67"/>
      <c r="G4" s="67"/>
      <c r="H4" s="67"/>
      <c r="I4" s="67"/>
      <c r="J4" s="67"/>
      <c r="K4" s="67"/>
    </row>
    <row r="5" customFormat="false" ht="15" hidden="false" customHeight="true" outlineLevel="0" collapsed="false">
      <c r="A5" s="70" t="s">
        <v>174</v>
      </c>
      <c r="B5" s="71" t="n">
        <v>0.35</v>
      </c>
      <c r="C5" s="72" t="s">
        <v>175</v>
      </c>
      <c r="D5" s="72"/>
      <c r="E5" s="72"/>
      <c r="F5" s="72"/>
      <c r="G5" s="72"/>
      <c r="H5" s="72"/>
      <c r="I5" s="72"/>
      <c r="J5" s="72"/>
      <c r="K5" s="72"/>
    </row>
    <row r="6" customFormat="false" ht="15" hidden="false" customHeight="true" outlineLevel="0" collapsed="false">
      <c r="A6" s="70" t="s">
        <v>176</v>
      </c>
      <c r="B6" s="71" t="n">
        <v>0.85</v>
      </c>
      <c r="C6" s="72" t="s">
        <v>177</v>
      </c>
      <c r="D6" s="72"/>
      <c r="E6" s="72"/>
      <c r="F6" s="72"/>
      <c r="G6" s="72"/>
      <c r="H6" s="72"/>
      <c r="I6" s="72"/>
      <c r="J6" s="72"/>
      <c r="K6" s="72"/>
    </row>
    <row r="7" customFormat="false" ht="15" hidden="false" customHeight="true" outlineLevel="0" collapsed="false">
      <c r="A7" s="70" t="s">
        <v>178</v>
      </c>
      <c r="B7" s="73" t="n">
        <v>10</v>
      </c>
      <c r="C7" s="72" t="s">
        <v>179</v>
      </c>
      <c r="D7" s="72"/>
      <c r="E7" s="72"/>
      <c r="F7" s="72"/>
      <c r="G7" s="72"/>
      <c r="H7" s="72"/>
      <c r="I7" s="72"/>
      <c r="J7" s="72"/>
      <c r="K7" s="72"/>
    </row>
    <row r="8" customFormat="false" ht="15" hidden="false" customHeight="true" outlineLevel="0" collapsed="false">
      <c r="A8" s="70" t="s">
        <v>180</v>
      </c>
      <c r="B8" s="71" t="n">
        <v>0.41</v>
      </c>
      <c r="C8" s="72" t="s">
        <v>181</v>
      </c>
      <c r="D8" s="72"/>
      <c r="E8" s="72"/>
      <c r="F8" s="72"/>
      <c r="G8" s="72"/>
      <c r="H8" s="72"/>
      <c r="I8" s="72"/>
      <c r="J8" s="72"/>
      <c r="K8" s="72"/>
    </row>
    <row r="9" customFormat="false" ht="15" hidden="false" customHeight="true" outlineLevel="0" collapsed="false">
      <c r="A9" s="70" t="s">
        <v>182</v>
      </c>
      <c r="B9" s="71" t="n">
        <v>0.09</v>
      </c>
      <c r="C9" s="72" t="s">
        <v>183</v>
      </c>
      <c r="D9" s="72"/>
      <c r="E9" s="72"/>
      <c r="F9" s="72"/>
      <c r="G9" s="72"/>
      <c r="H9" s="72"/>
      <c r="I9" s="72"/>
      <c r="J9" s="72"/>
      <c r="K9" s="72"/>
    </row>
    <row r="10" customFormat="false" ht="15" hidden="false" customHeight="true" outlineLevel="0" collapsed="false">
      <c r="A10" s="70" t="s">
        <v>184</v>
      </c>
      <c r="B10" s="74" t="n">
        <v>1</v>
      </c>
      <c r="C10" s="72" t="s">
        <v>185</v>
      </c>
      <c r="D10" s="72"/>
      <c r="E10" s="72"/>
      <c r="F10" s="72"/>
      <c r="G10" s="72"/>
      <c r="H10" s="72"/>
      <c r="I10" s="72"/>
      <c r="J10" s="72"/>
      <c r="K10" s="72"/>
    </row>
    <row r="11" customFormat="false" ht="27.75" hidden="false" customHeight="true" outlineLevel="0" collapsed="false">
      <c r="A11" s="70" t="s">
        <v>186</v>
      </c>
      <c r="B11" s="71" t="n">
        <v>1</v>
      </c>
      <c r="C11" s="72" t="s">
        <v>187</v>
      </c>
      <c r="D11" s="72"/>
      <c r="E11" s="72"/>
      <c r="F11" s="72"/>
      <c r="G11" s="72"/>
      <c r="H11" s="72"/>
      <c r="I11" s="72"/>
      <c r="J11" s="72"/>
      <c r="K11" s="72"/>
    </row>
    <row r="12" customFormat="false" ht="15" hidden="false" customHeight="true" outlineLevel="0" collapsed="false">
      <c r="A12" s="70" t="s">
        <v>188</v>
      </c>
      <c r="B12" s="71" t="n">
        <v>0.95</v>
      </c>
      <c r="C12" s="72" t="s">
        <v>189</v>
      </c>
      <c r="D12" s="72"/>
      <c r="E12" s="72"/>
      <c r="F12" s="72"/>
      <c r="G12" s="72"/>
      <c r="H12" s="72"/>
      <c r="I12" s="72"/>
      <c r="J12" s="72"/>
      <c r="K12" s="72"/>
    </row>
    <row r="13" customFormat="false" ht="15" hidden="false" customHeight="true" outlineLevel="0" collapsed="false">
      <c r="A13" s="70" t="s">
        <v>190</v>
      </c>
      <c r="B13" s="73" t="n">
        <v>1</v>
      </c>
      <c r="C13" s="72" t="s">
        <v>191</v>
      </c>
      <c r="D13" s="72"/>
      <c r="E13" s="72"/>
      <c r="F13" s="72"/>
      <c r="G13" s="72"/>
      <c r="H13" s="72"/>
      <c r="I13" s="72"/>
      <c r="J13" s="72"/>
      <c r="K13" s="72"/>
    </row>
    <row r="14" customFormat="false" ht="15" hidden="false" customHeight="true" outlineLevel="0" collapsed="false">
      <c r="A14" s="67"/>
      <c r="B14" s="67"/>
      <c r="C14" s="67"/>
      <c r="D14" s="67"/>
      <c r="E14" s="67"/>
      <c r="F14" s="67"/>
      <c r="G14" s="67"/>
      <c r="H14" s="67"/>
      <c r="I14" s="67"/>
      <c r="J14" s="67"/>
      <c r="K14" s="67"/>
    </row>
    <row r="15" customFormat="false" ht="15" hidden="false" customHeight="true" outlineLevel="0" collapsed="false">
      <c r="A15" s="69" t="s">
        <v>192</v>
      </c>
      <c r="B15" s="67"/>
      <c r="C15" s="67"/>
      <c r="D15" s="67"/>
      <c r="E15" s="67"/>
      <c r="F15" s="67"/>
      <c r="G15" s="67"/>
      <c r="H15" s="67"/>
      <c r="I15" s="67"/>
      <c r="J15" s="67"/>
      <c r="K15" s="67"/>
    </row>
    <row r="16" customFormat="false" ht="15" hidden="false" customHeight="true" outlineLevel="0" collapsed="false">
      <c r="A16" s="75" t="s">
        <v>193</v>
      </c>
      <c r="B16" s="71" t="n">
        <v>0.3</v>
      </c>
      <c r="C16" s="67"/>
      <c r="D16" s="67"/>
      <c r="E16" s="67"/>
      <c r="F16" s="67"/>
      <c r="G16" s="67"/>
      <c r="H16" s="67"/>
      <c r="I16" s="67"/>
      <c r="J16" s="67"/>
      <c r="K16" s="67"/>
    </row>
    <row r="17" customFormat="false" ht="15" hidden="false" customHeight="true" outlineLevel="0" collapsed="false">
      <c r="A17" s="75" t="s">
        <v>194</v>
      </c>
      <c r="B17" s="71" t="n">
        <v>0.65</v>
      </c>
      <c r="C17" s="67"/>
      <c r="D17" s="67"/>
      <c r="E17" s="67"/>
      <c r="F17" s="67"/>
      <c r="G17" s="67"/>
      <c r="H17" s="67"/>
      <c r="I17" s="67"/>
      <c r="J17" s="67"/>
      <c r="K17" s="67"/>
    </row>
    <row r="18" customFormat="false" ht="15" hidden="false" customHeight="true" outlineLevel="0" collapsed="false">
      <c r="A18" s="75" t="s">
        <v>195</v>
      </c>
      <c r="B18" s="73" t="n">
        <v>3</v>
      </c>
      <c r="C18" s="67"/>
      <c r="D18" s="67"/>
      <c r="E18" s="67"/>
      <c r="F18" s="67"/>
      <c r="G18" s="67"/>
      <c r="H18" s="67"/>
      <c r="I18" s="67"/>
      <c r="J18" s="67"/>
      <c r="K18" s="67"/>
    </row>
    <row r="19" customFormat="false" ht="15" hidden="false" customHeight="true" outlineLevel="0" collapsed="false">
      <c r="A19" s="75" t="s">
        <v>196</v>
      </c>
      <c r="B19" s="71" t="n">
        <v>0.2</v>
      </c>
      <c r="C19" s="67"/>
      <c r="D19" s="67"/>
      <c r="E19" s="67"/>
      <c r="F19" s="67"/>
      <c r="G19" s="67"/>
      <c r="H19" s="67"/>
      <c r="I19" s="67"/>
      <c r="J19" s="67"/>
      <c r="K19" s="67"/>
    </row>
    <row r="20" customFormat="false" ht="15" hidden="false" customHeight="true" outlineLevel="0" collapsed="false">
      <c r="A20" s="67"/>
      <c r="B20" s="67"/>
      <c r="C20" s="67"/>
      <c r="D20" s="67"/>
      <c r="E20" s="67"/>
      <c r="F20" s="67"/>
      <c r="G20" s="67"/>
      <c r="H20" s="67"/>
      <c r="I20" s="67"/>
      <c r="J20" s="67"/>
      <c r="K20" s="67"/>
    </row>
    <row r="21" customFormat="false" ht="42" hidden="false" customHeight="true" outlineLevel="0" collapsed="false">
      <c r="A21" s="76" t="s">
        <v>197</v>
      </c>
      <c r="B21" s="76" t="s">
        <v>198</v>
      </c>
      <c r="C21" s="76" t="s">
        <v>199</v>
      </c>
      <c r="D21" s="76" t="s">
        <v>200</v>
      </c>
      <c r="E21" s="76" t="s">
        <v>201</v>
      </c>
      <c r="F21" s="76" t="s">
        <v>202</v>
      </c>
      <c r="G21" s="76" t="s">
        <v>203</v>
      </c>
      <c r="H21" s="76" t="s">
        <v>204</v>
      </c>
      <c r="I21" s="76" t="s">
        <v>40</v>
      </c>
      <c r="J21" s="76" t="s">
        <v>205</v>
      </c>
      <c r="K21" s="76" t="s">
        <v>63</v>
      </c>
    </row>
    <row r="22" customFormat="false" ht="24.75" hidden="false" customHeight="true" outlineLevel="0" collapsed="false">
      <c r="A22" s="77" t="n">
        <v>0</v>
      </c>
      <c r="B22" s="74" t="n">
        <v>2</v>
      </c>
      <c r="C22" s="71" t="n">
        <v>0.4</v>
      </c>
      <c r="D22" s="78" t="n">
        <f aca="false">IF(AND($B22="",$C22=""),"",$B22)</f>
        <v>2</v>
      </c>
      <c r="E22" s="79" t="n">
        <f aca="false">IF(AND($B22="",$C22=""),"",0)</f>
        <v>0</v>
      </c>
      <c r="F22" s="79" t="n">
        <f aca="false">IF(AND($B22="",$C22=""),"",$B$5+($B$6-$B$5)*MAX(0,MIN($B$7,IF($B$13=1,$D22+$B$10*$E22,IF($B22="",$D22,$B22))))/$B$7)</f>
        <v>0.45</v>
      </c>
      <c r="G22" s="78" t="n">
        <f aca="false">IF(AND($B22="",$C22=""),"",$B$19)</f>
        <v>0.2</v>
      </c>
      <c r="H22" s="79" t="n">
        <f aca="false">IF(AND($B22="",$C22=""),"",ROUND($B$16*$B$17*$F22*(1-$G22),12))</f>
        <v>0.0702</v>
      </c>
      <c r="I22" s="80" t="str">
        <f aca="false">IF(AND($B22="",$C22=""),"",INDEX(Reference!$B$10:$B$14,MATCH($H22,{0,0.05,0.15,0.35,0.6},1)))</f>
        <v>2 · Moderate</v>
      </c>
      <c r="J22" s="81" t="str">
        <f aca="false">""</f>
        <v/>
      </c>
      <c r="K22" s="82" t="str">
        <f aca="false">IF(AND($B22="",$C22=""),"",INDEX(Reference!$D$10:$D$14,MATCH($H22,{0,0.05,0.15,0.35,0.6},1)))</f>
        <v>Low-regret preventive measures</v>
      </c>
    </row>
    <row r="23" customFormat="false" ht="24.75" hidden="false" customHeight="true" outlineLevel="0" collapsed="false">
      <c r="A23" s="77" t="n">
        <v>1</v>
      </c>
      <c r="B23" s="74" t="n">
        <v>1</v>
      </c>
      <c r="C23" s="71" t="n">
        <v>0.55</v>
      </c>
      <c r="D23" s="78" t="n">
        <f aca="false">IF(AND($B23="",$C23=""),"",IF($B23="",($D22+$E22),($D22+$E22)+$B$8*($B23-($D22+$E22))))</f>
        <v>1.59</v>
      </c>
      <c r="E23" s="79" t="n">
        <f aca="false">IF(AND($B23="",$C23=""),"",IF($B23="",$E22,$E22+$B$9*($B23-($D22+$E22))))</f>
        <v>-0.09</v>
      </c>
      <c r="F23" s="79" t="n">
        <f aca="false">IF(AND($B23="",$C23=""),"",$B$5+($B$6-$B$5)*MAX(0,MIN($B$7,IF($B$13=1,$D23+$B$10*$E23,IF($B23="",$D23,$B23))))/$B$7)</f>
        <v>0.425</v>
      </c>
      <c r="G23" s="78" t="n">
        <f aca="false">IF(AND($B23="",$C23=""),"",IF($C23="",$G22,MIN($B$12,MAX(0,$G22+$B$11*($C23-$C22)))))</f>
        <v>0.35</v>
      </c>
      <c r="H23" s="79" t="n">
        <f aca="false">IF(AND($B23="",$C23=""),"",ROUND($B$16*$B$17*$F23*(1-$G23),12))</f>
        <v>0.05386875</v>
      </c>
      <c r="I23" s="80" t="str">
        <f aca="false">IF(AND($B23="",$C23=""),"",INDEX(Reference!$B$10:$B$14,MATCH($H23,{0,0.05,0.15,0.35,0.6},1)))</f>
        <v>2 · Moderate</v>
      </c>
      <c r="J23" s="81" t="n">
        <f aca="false">IF(AND($B23="",$C23=""),"",$H23-$H22)</f>
        <v>-0.01633125</v>
      </c>
      <c r="K23" s="82" t="str">
        <f aca="false">IF(AND($B23="",$C23=""),"",INDEX(Reference!$D$10:$D$14,MATCH($H23,{0,0.05,0.15,0.35,0.6},1)))</f>
        <v>Low-regret preventive measures</v>
      </c>
    </row>
    <row r="24" customFormat="false" ht="24.75" hidden="false" customHeight="true" outlineLevel="0" collapsed="false">
      <c r="A24" s="77" t="n">
        <v>2</v>
      </c>
      <c r="B24" s="74" t="n">
        <v>1</v>
      </c>
      <c r="C24" s="71" t="n">
        <v>0.7</v>
      </c>
      <c r="D24" s="78" t="n">
        <f aca="false">IF(AND($B24="",$C24=""),"",IF($B24="",($D23+$E23),($D23+$E23)+$B$8*($B24-($D23+$E23))))</f>
        <v>1.295</v>
      </c>
      <c r="E24" s="79" t="n">
        <f aca="false">IF(AND($B24="",$C24=""),"",IF($B24="",$E23,$E23+$B$9*($B24-($D23+$E23))))</f>
        <v>-0.135</v>
      </c>
      <c r="F24" s="79" t="n">
        <f aca="false">IF(AND($B24="",$C24=""),"",$B$5+($B$6-$B$5)*MAX(0,MIN($B$7,IF($B$13=1,$D24+$B$10*$E24,IF($B24="",$D24,$B24))))/$B$7)</f>
        <v>0.408</v>
      </c>
      <c r="G24" s="78" t="n">
        <f aca="false">IF(AND($B24="",$C24=""),"",IF($C24="",$G23,MIN($B$12,MAX(0,$G23+$B$11*($C24-$C23)))))</f>
        <v>0.5</v>
      </c>
      <c r="H24" s="79" t="n">
        <f aca="false">IF(AND($B24="",$C24=""),"",ROUND($B$16*$B$17*$F24*(1-$G24),12))</f>
        <v>0.03978</v>
      </c>
      <c r="I24" s="80" t="str">
        <f aca="false">IF(AND($B24="",$C24=""),"",INDEX(Reference!$B$10:$B$14,MATCH($H24,{0,0.05,0.15,0.35,0.6},1)))</f>
        <v>1 · Low</v>
      </c>
      <c r="J24" s="81" t="n">
        <f aca="false">IF(AND($B24="",$C24=""),"",$H24-$H23)</f>
        <v>-0.01408875</v>
      </c>
      <c r="K24" s="82" t="str">
        <f aca="false">IF(AND($B24="",$C24=""),"",INDEX(Reference!$D$10:$D$14,MATCH($H24,{0,0.05,0.15,0.35,0.6},1)))</f>
        <v>Monitor; maintain baseline</v>
      </c>
    </row>
    <row r="25" customFormat="false" ht="24.75" hidden="false" customHeight="true" outlineLevel="0" collapsed="false">
      <c r="A25" s="77" t="n">
        <v>3</v>
      </c>
      <c r="B25" s="74" t="n">
        <v>0</v>
      </c>
      <c r="C25" s="71" t="n">
        <v>0.75</v>
      </c>
      <c r="D25" s="78" t="n">
        <f aca="false">IF(AND($B25="",$C25=""),"",IF($B25="",($D24+$E24),($D24+$E24)+$B$8*($B25-($D24+$E24))))</f>
        <v>0.6844</v>
      </c>
      <c r="E25" s="79" t="n">
        <f aca="false">IF(AND($B25="",$C25=""),"",IF($B25="",$E24,$E24+$B$9*($B25-($D24+$E24))))</f>
        <v>-0.2394</v>
      </c>
      <c r="F25" s="79" t="n">
        <f aca="false">IF(AND($B25="",$C25=""),"",$B$5+($B$6-$B$5)*MAX(0,MIN($B$7,IF($B$13=1,$D25+$B$10*$E25,IF($B25="",$D25,$B25))))/$B$7)</f>
        <v>0.37225</v>
      </c>
      <c r="G25" s="78" t="n">
        <f aca="false">IF(AND($B25="",$C25=""),"",IF($C25="",$G24,MIN($B$12,MAX(0,$G24+$B$11*($C25-$C24)))))</f>
        <v>0.55</v>
      </c>
      <c r="H25" s="79" t="n">
        <f aca="false">IF(AND($B25="",$C25=""),"",ROUND($B$16*$B$17*$F25*(1-$G25),12))</f>
        <v>0.0326649375</v>
      </c>
      <c r="I25" s="80" t="str">
        <f aca="false">IF(AND($B25="",$C25=""),"",INDEX(Reference!$B$10:$B$14,MATCH($H25,{0,0.05,0.15,0.35,0.6},1)))</f>
        <v>1 · Low</v>
      </c>
      <c r="J25" s="81" t="n">
        <f aca="false">IF(AND($B25="",$C25=""),"",$H25-$H24)</f>
        <v>-0.00711506250000001</v>
      </c>
      <c r="K25" s="82" t="str">
        <f aca="false">IF(AND($B25="",$C25=""),"",INDEX(Reference!$D$10:$D$14,MATCH($H25,{0,0.05,0.15,0.35,0.6},1)))</f>
        <v>Monitor; maintain baseline</v>
      </c>
    </row>
    <row r="26" customFormat="false" ht="15" hidden="false" customHeight="true" outlineLevel="0" collapsed="false">
      <c r="A26" s="77" t="n">
        <v>4</v>
      </c>
      <c r="B26" s="74"/>
      <c r="C26" s="71"/>
      <c r="D26" s="78" t="str">
        <f aca="false">IF(AND($B26="",$C26=""),"",IF($B26="",($D25+$E25),($D25+$E25)+$B$8*($B26-($D25+$E25))))</f>
        <v/>
      </c>
      <c r="E26" s="79" t="str">
        <f aca="false">IF(AND($B26="",$C26=""),"",IF($B26="",$E25,$E25+$B$9*($B26-($D25+$E25))))</f>
        <v/>
      </c>
      <c r="F26" s="79" t="str">
        <f aca="false">IF(AND($B26="",$C26=""),"",$B$5+($B$6-$B$5)*MAX(0,MIN($B$7,IF($B$13=1,$D26+$B$10*$E26,IF($B26="",$D26,$B26))))/$B$7)</f>
        <v/>
      </c>
      <c r="G26" s="78" t="str">
        <f aca="false">IF(AND($B26="",$C26=""),"",IF($C26="",$G25,MIN($B$12,MAX(0,$G25+$B$11*($C26-$C25)))))</f>
        <v/>
      </c>
      <c r="H26" s="79" t="str">
        <f aca="false">IF(AND($B26="",$C26=""),"",ROUND($B$16*$B$17*$F26*(1-$G26),12))</f>
        <v/>
      </c>
      <c r="I26" s="80" t="str">
        <f aca="false">IF(AND($B26="",$C26=""),"",INDEX(Reference!$B$10:$B$14,MATCH($H26,{0,0.05,0.15,0.35,0.6},1)))</f>
        <v/>
      </c>
      <c r="J26" s="81" t="str">
        <f aca="false">IF(AND($B26="",$C26=""),"",$H26-$H25)</f>
        <v/>
      </c>
      <c r="K26" s="82" t="str">
        <f aca="false">IF(AND($B26="",$C26=""),"",INDEX(Reference!$D$10:$D$14,MATCH($H26,{0,0.05,0.15,0.35,0.6},1)))</f>
        <v/>
      </c>
    </row>
    <row r="27" customFormat="false" ht="15" hidden="false" customHeight="true" outlineLevel="0" collapsed="false">
      <c r="A27" s="77" t="n">
        <v>5</v>
      </c>
      <c r="B27" s="74"/>
      <c r="C27" s="71"/>
      <c r="D27" s="78" t="str">
        <f aca="false">IF(AND($B27="",$C27=""),"",IF($B27="",($D26+$E26),($D26+$E26)+$B$8*($B27-($D26+$E26))))</f>
        <v/>
      </c>
      <c r="E27" s="79" t="str">
        <f aca="false">IF(AND($B27="",$C27=""),"",IF($B27="",$E26,$E26+$B$9*($B27-($D26+$E26))))</f>
        <v/>
      </c>
      <c r="F27" s="79" t="str">
        <f aca="false">IF(AND($B27="",$C27=""),"",$B$5+($B$6-$B$5)*MAX(0,MIN($B$7,IF($B$13=1,$D27+$B$10*$E27,IF($B27="",$D27,$B27))))/$B$7)</f>
        <v/>
      </c>
      <c r="G27" s="78" t="str">
        <f aca="false">IF(AND($B27="",$C27=""),"",IF($C27="",$G26,MIN($B$12,MAX(0,$G26+$B$11*($C27-$C26)))))</f>
        <v/>
      </c>
      <c r="H27" s="79" t="str">
        <f aca="false">IF(AND($B27="",$C27=""),"",ROUND($B$16*$B$17*$F27*(1-$G27),12))</f>
        <v/>
      </c>
      <c r="I27" s="80" t="str">
        <f aca="false">IF(AND($B27="",$C27=""),"",INDEX(Reference!$B$10:$B$14,MATCH($H27,{0,0.05,0.15,0.35,0.6},1)))</f>
        <v/>
      </c>
      <c r="J27" s="81" t="str">
        <f aca="false">IF(AND($B27="",$C27=""),"",$H27-$H26)</f>
        <v/>
      </c>
      <c r="K27" s="82" t="str">
        <f aca="false">IF(AND($B27="",$C27=""),"",INDEX(Reference!$D$10:$D$14,MATCH($H27,{0,0.05,0.15,0.35,0.6},1)))</f>
        <v/>
      </c>
    </row>
    <row r="28" customFormat="false" ht="15" hidden="false" customHeight="true" outlineLevel="0" collapsed="false">
      <c r="A28" s="77" t="n">
        <v>6</v>
      </c>
      <c r="B28" s="74"/>
      <c r="C28" s="71"/>
      <c r="D28" s="78" t="str">
        <f aca="false">IF(AND($B28="",$C28=""),"",IF($B28="",($D27+$E27),($D27+$E27)+$B$8*($B28-($D27+$E27))))</f>
        <v/>
      </c>
      <c r="E28" s="79" t="str">
        <f aca="false">IF(AND($B28="",$C28=""),"",IF($B28="",$E27,$E27+$B$9*($B28-($D27+$E27))))</f>
        <v/>
      </c>
      <c r="F28" s="79" t="str">
        <f aca="false">IF(AND($B28="",$C28=""),"",$B$5+($B$6-$B$5)*MAX(0,MIN($B$7,IF($B$13=1,$D28+$B$10*$E28,IF($B28="",$D28,$B28))))/$B$7)</f>
        <v/>
      </c>
      <c r="G28" s="78" t="str">
        <f aca="false">IF(AND($B28="",$C28=""),"",IF($C28="",$G27,MIN($B$12,MAX(0,$G27+$B$11*($C28-$C27)))))</f>
        <v/>
      </c>
      <c r="H28" s="79" t="str">
        <f aca="false">IF(AND($B28="",$C28=""),"",ROUND($B$16*$B$17*$F28*(1-$G28),12))</f>
        <v/>
      </c>
      <c r="I28" s="80" t="str">
        <f aca="false">IF(AND($B28="",$C28=""),"",INDEX(Reference!$B$10:$B$14,MATCH($H28,{0,0.05,0.15,0.35,0.6},1)))</f>
        <v/>
      </c>
      <c r="J28" s="81" t="str">
        <f aca="false">IF(AND($B28="",$C28=""),"",$H28-$H27)</f>
        <v/>
      </c>
      <c r="K28" s="82" t="str">
        <f aca="false">IF(AND($B28="",$C28=""),"",INDEX(Reference!$D$10:$D$14,MATCH($H28,{0,0.05,0.15,0.35,0.6},1)))</f>
        <v/>
      </c>
    </row>
    <row r="29" customFormat="false" ht="15" hidden="false" customHeight="true" outlineLevel="0" collapsed="false">
      <c r="A29" s="77" t="n">
        <v>7</v>
      </c>
      <c r="B29" s="74"/>
      <c r="C29" s="71"/>
      <c r="D29" s="78" t="str">
        <f aca="false">IF(AND($B29="",$C29=""),"",IF($B29="",($D28+$E28),($D28+$E28)+$B$8*($B29-($D28+$E28))))</f>
        <v/>
      </c>
      <c r="E29" s="79" t="str">
        <f aca="false">IF(AND($B29="",$C29=""),"",IF($B29="",$E28,$E28+$B$9*($B29-($D28+$E28))))</f>
        <v/>
      </c>
      <c r="F29" s="79" t="str">
        <f aca="false">IF(AND($B29="",$C29=""),"",$B$5+($B$6-$B$5)*MAX(0,MIN($B$7,IF($B$13=1,$D29+$B$10*$E29,IF($B29="",$D29,$B29))))/$B$7)</f>
        <v/>
      </c>
      <c r="G29" s="78" t="str">
        <f aca="false">IF(AND($B29="",$C29=""),"",IF($C29="",$G28,MIN($B$12,MAX(0,$G28+$B$11*($C29-$C28)))))</f>
        <v/>
      </c>
      <c r="H29" s="79" t="str">
        <f aca="false">IF(AND($B29="",$C29=""),"",ROUND($B$16*$B$17*$F29*(1-$G29),12))</f>
        <v/>
      </c>
      <c r="I29" s="80" t="str">
        <f aca="false">IF(AND($B29="",$C29=""),"",INDEX(Reference!$B$10:$B$14,MATCH($H29,{0,0.05,0.15,0.35,0.6},1)))</f>
        <v/>
      </c>
      <c r="J29" s="81" t="str">
        <f aca="false">IF(AND($B29="",$C29=""),"",$H29-$H28)</f>
        <v/>
      </c>
      <c r="K29" s="82" t="str">
        <f aca="false">IF(AND($B29="",$C29=""),"",INDEX(Reference!$D$10:$D$14,MATCH($H29,{0,0.05,0.15,0.35,0.6},1)))</f>
        <v/>
      </c>
    </row>
    <row r="30" customFormat="false" ht="15" hidden="false" customHeight="true" outlineLevel="0" collapsed="false">
      <c r="A30" s="67"/>
      <c r="B30" s="67"/>
      <c r="C30" s="67"/>
      <c r="D30" s="67"/>
      <c r="E30" s="67"/>
      <c r="F30" s="67"/>
      <c r="G30" s="67"/>
      <c r="H30" s="67"/>
      <c r="I30" s="67"/>
      <c r="J30" s="67"/>
      <c r="K30" s="67"/>
    </row>
    <row r="31" customFormat="false" ht="15" hidden="false" customHeight="true" outlineLevel="0" collapsed="false">
      <c r="A31" s="69" t="s">
        <v>206</v>
      </c>
      <c r="B31" s="67"/>
      <c r="C31" s="67"/>
      <c r="D31" s="67"/>
      <c r="E31" s="67"/>
      <c r="F31" s="67"/>
      <c r="G31" s="67"/>
      <c r="H31" s="67"/>
      <c r="I31" s="67"/>
      <c r="J31" s="67"/>
      <c r="K31" s="67"/>
    </row>
    <row r="32" customFormat="false" ht="15" hidden="false" customHeight="true" outlineLevel="0" collapsed="false">
      <c r="A32" s="75" t="s">
        <v>193</v>
      </c>
      <c r="B32" s="71" t="n">
        <v>0.3</v>
      </c>
      <c r="C32" s="67"/>
      <c r="D32" s="67"/>
      <c r="E32" s="67"/>
      <c r="F32" s="67"/>
      <c r="G32" s="67"/>
      <c r="H32" s="67"/>
      <c r="I32" s="67"/>
      <c r="J32" s="67"/>
      <c r="K32" s="67"/>
    </row>
    <row r="33" customFormat="false" ht="15" hidden="false" customHeight="true" outlineLevel="0" collapsed="false">
      <c r="A33" s="75" t="s">
        <v>194</v>
      </c>
      <c r="B33" s="71" t="n">
        <v>0.65</v>
      </c>
      <c r="C33" s="67"/>
      <c r="D33" s="67"/>
      <c r="E33" s="67"/>
      <c r="F33" s="67"/>
      <c r="G33" s="67"/>
      <c r="H33" s="67"/>
      <c r="I33" s="67"/>
      <c r="J33" s="67"/>
      <c r="K33" s="67"/>
    </row>
    <row r="34" customFormat="false" ht="15" hidden="false" customHeight="true" outlineLevel="0" collapsed="false">
      <c r="A34" s="75" t="s">
        <v>195</v>
      </c>
      <c r="B34" s="73" t="n">
        <v>3</v>
      </c>
      <c r="C34" s="67"/>
      <c r="D34" s="67"/>
      <c r="E34" s="67"/>
      <c r="F34" s="67"/>
      <c r="G34" s="67"/>
      <c r="H34" s="67"/>
      <c r="I34" s="67"/>
      <c r="J34" s="67"/>
      <c r="K34" s="67"/>
    </row>
    <row r="35" customFormat="false" ht="15" hidden="false" customHeight="true" outlineLevel="0" collapsed="false">
      <c r="A35" s="75" t="s">
        <v>196</v>
      </c>
      <c r="B35" s="71" t="n">
        <v>0.2</v>
      </c>
      <c r="C35" s="67"/>
      <c r="D35" s="67"/>
      <c r="E35" s="67"/>
      <c r="F35" s="67"/>
      <c r="G35" s="67"/>
      <c r="H35" s="67"/>
      <c r="I35" s="67"/>
      <c r="J35" s="67"/>
      <c r="K35" s="67"/>
    </row>
    <row r="36" customFormat="false" ht="15" hidden="false" customHeight="true" outlineLevel="0" collapsed="false">
      <c r="A36" s="67"/>
      <c r="B36" s="67"/>
      <c r="C36" s="67"/>
      <c r="D36" s="67"/>
      <c r="E36" s="67"/>
      <c r="F36" s="67"/>
      <c r="G36" s="67"/>
      <c r="H36" s="67"/>
      <c r="I36" s="67"/>
      <c r="J36" s="67"/>
      <c r="K36" s="67"/>
    </row>
    <row r="37" customFormat="false" ht="42" hidden="false" customHeight="true" outlineLevel="0" collapsed="false">
      <c r="A37" s="76" t="s">
        <v>197</v>
      </c>
      <c r="B37" s="76" t="s">
        <v>198</v>
      </c>
      <c r="C37" s="76" t="s">
        <v>199</v>
      </c>
      <c r="D37" s="76" t="s">
        <v>200</v>
      </c>
      <c r="E37" s="76" t="s">
        <v>201</v>
      </c>
      <c r="F37" s="76" t="s">
        <v>202</v>
      </c>
      <c r="G37" s="76" t="s">
        <v>203</v>
      </c>
      <c r="H37" s="76" t="s">
        <v>204</v>
      </c>
      <c r="I37" s="76" t="s">
        <v>40</v>
      </c>
      <c r="J37" s="76" t="s">
        <v>205</v>
      </c>
      <c r="K37" s="76" t="s">
        <v>63</v>
      </c>
    </row>
    <row r="38" customFormat="false" ht="24.75" hidden="false" customHeight="true" outlineLevel="0" collapsed="false">
      <c r="A38" s="77" t="n">
        <v>0</v>
      </c>
      <c r="B38" s="74" t="n">
        <v>2</v>
      </c>
      <c r="C38" s="71" t="n">
        <v>0.4</v>
      </c>
      <c r="D38" s="78" t="n">
        <f aca="false">IF(AND($B38="",$C38=""),"",$B38)</f>
        <v>2</v>
      </c>
      <c r="E38" s="79" t="n">
        <f aca="false">IF(AND($B38="",$C38=""),"",0)</f>
        <v>0</v>
      </c>
      <c r="F38" s="79" t="n">
        <f aca="false">IF(AND($B38="",$C38=""),"",$B$5+($B$6-$B$5)*MAX(0,MIN($B$7,IF($B$13=1,$D38+$B$10*$E38,IF($B38="",$D38,$B38))))/$B$7)</f>
        <v>0.45</v>
      </c>
      <c r="G38" s="78" t="n">
        <f aca="false">IF(AND($B38="",$C38=""),"",$B$35)</f>
        <v>0.2</v>
      </c>
      <c r="H38" s="79" t="n">
        <f aca="false">IF(AND($B38="",$C38=""),"",ROUND($B$32*$B$33*$F38*(1-$G38),12))</f>
        <v>0.0702</v>
      </c>
      <c r="I38" s="80" t="str">
        <f aca="false">IF(AND($B38="",$C38=""),"",INDEX(Reference!$B$10:$B$14,MATCH($H38,{0,0.05,0.15,0.35,0.6},1)))</f>
        <v>2 · Moderate</v>
      </c>
      <c r="J38" s="81" t="str">
        <f aca="false">""</f>
        <v/>
      </c>
      <c r="K38" s="82" t="str">
        <f aca="false">IF(AND($B38="",$C38=""),"",INDEX(Reference!$D$10:$D$14,MATCH($H38,{0,0.05,0.15,0.35,0.6},1)))</f>
        <v>Low-regret preventive measures</v>
      </c>
    </row>
    <row r="39" customFormat="false" ht="24.75" hidden="false" customHeight="true" outlineLevel="0" collapsed="false">
      <c r="A39" s="77" t="n">
        <v>1</v>
      </c>
      <c r="B39" s="74" t="n">
        <v>3</v>
      </c>
      <c r="C39" s="71" t="n">
        <v>0.4</v>
      </c>
      <c r="D39" s="78" t="n">
        <f aca="false">IF(AND($B39="",$C39=""),"",IF($B39="",($D38+$E38),($D38+$E38)+$B$8*($B39-($D38+$E38))))</f>
        <v>2.41</v>
      </c>
      <c r="E39" s="79" t="n">
        <f aca="false">IF(AND($B39="",$C39=""),"",IF($B39="",$E38,$E38+$B$9*($B39-($D38+$E38))))</f>
        <v>0.09</v>
      </c>
      <c r="F39" s="79" t="n">
        <f aca="false">IF(AND($B39="",$C39=""),"",$B$5+($B$6-$B$5)*MAX(0,MIN($B$7,IF($B$13=1,$D39+$B$10*$E39,IF($B39="",$D39,$B39))))/$B$7)</f>
        <v>0.475</v>
      </c>
      <c r="G39" s="78" t="n">
        <f aca="false">IF(AND($B39="",$C39=""),"",IF($C39="",$G38,MIN($B$12,MAX(0,$G38+$B$11*($C39-$C38)))))</f>
        <v>0.2</v>
      </c>
      <c r="H39" s="79" t="n">
        <f aca="false">IF(AND($B39="",$C39=""),"",ROUND($B$32*$B$33*$F39*(1-$G39),12))</f>
        <v>0.0741</v>
      </c>
      <c r="I39" s="80" t="str">
        <f aca="false">IF(AND($B39="",$C39=""),"",INDEX(Reference!$B$10:$B$14,MATCH($H39,{0,0.05,0.15,0.35,0.6},1)))</f>
        <v>2 · Moderate</v>
      </c>
      <c r="J39" s="81" t="n">
        <f aca="false">IF(AND($B39="",$C39=""),"",$H39-$H38)</f>
        <v>0.0039</v>
      </c>
      <c r="K39" s="82" t="str">
        <f aca="false">IF(AND($B39="",$C39=""),"",INDEX(Reference!$D$10:$D$14,MATCH($H39,{0,0.05,0.15,0.35,0.6},1)))</f>
        <v>Low-regret preventive measures</v>
      </c>
    </row>
    <row r="40" customFormat="false" ht="24.75" hidden="false" customHeight="true" outlineLevel="0" collapsed="false">
      <c r="A40" s="77" t="n">
        <v>2</v>
      </c>
      <c r="B40" s="74" t="n">
        <v>4</v>
      </c>
      <c r="C40" s="71" t="n">
        <v>0.35</v>
      </c>
      <c r="D40" s="78" t="n">
        <f aca="false">IF(AND($B40="",$C40=""),"",IF($B40="",($D39+$E39),($D39+$E39)+$B$8*($B40-($D39+$E39))))</f>
        <v>3.115</v>
      </c>
      <c r="E40" s="79" t="n">
        <f aca="false">IF(AND($B40="",$C40=""),"",IF($B40="",$E39,$E39+$B$9*($B40-($D39+$E39))))</f>
        <v>0.225</v>
      </c>
      <c r="F40" s="79" t="n">
        <f aca="false">IF(AND($B40="",$C40=""),"",$B$5+($B$6-$B$5)*MAX(0,MIN($B$7,IF($B$13=1,$D40+$B$10*$E40,IF($B40="",$D40,$B40))))/$B$7)</f>
        <v>0.517</v>
      </c>
      <c r="G40" s="78" t="n">
        <f aca="false">IF(AND($B40="",$C40=""),"",IF($C40="",$G39,MIN($B$12,MAX(0,$G39+$B$11*($C40-$C39)))))</f>
        <v>0.15</v>
      </c>
      <c r="H40" s="79" t="n">
        <f aca="false">IF(AND($B40="",$C40=""),"",ROUND($B$32*$B$33*$F40*(1-$G40),12))</f>
        <v>0.08569275</v>
      </c>
      <c r="I40" s="80" t="str">
        <f aca="false">IF(AND($B40="",$C40=""),"",INDEX(Reference!$B$10:$B$14,MATCH($H40,{0,0.05,0.15,0.35,0.6},1)))</f>
        <v>2 · Moderate</v>
      </c>
      <c r="J40" s="81" t="n">
        <f aca="false">IF(AND($B40="",$C40=""),"",$H40-$H39)</f>
        <v>0.01159275</v>
      </c>
      <c r="K40" s="82" t="str">
        <f aca="false">IF(AND($B40="",$C40=""),"",INDEX(Reference!$D$10:$D$14,MATCH($H40,{0,0.05,0.15,0.35,0.6},1)))</f>
        <v>Low-regret preventive measures</v>
      </c>
    </row>
    <row r="41" customFormat="false" ht="24.75" hidden="false" customHeight="true" outlineLevel="0" collapsed="false">
      <c r="A41" s="77" t="n">
        <v>3</v>
      </c>
      <c r="B41" s="74" t="n">
        <v>5</v>
      </c>
      <c r="C41" s="71" t="n">
        <v>0.35</v>
      </c>
      <c r="D41" s="78" t="n">
        <f aca="false">IF(AND($B41="",$C41=""),"",IF($B41="",($D40+$E40),($D40+$E40)+$B$8*($B41-($D40+$E40))))</f>
        <v>4.0206</v>
      </c>
      <c r="E41" s="79" t="n">
        <f aca="false">IF(AND($B41="",$C41=""),"",IF($B41="",$E40,$E40+$B$9*($B41-($D40+$E40))))</f>
        <v>0.3744</v>
      </c>
      <c r="F41" s="79" t="n">
        <f aca="false">IF(AND($B41="",$C41=""),"",$B$5+($B$6-$B$5)*MAX(0,MIN($B$7,IF($B$13=1,$D41+$B$10*$E41,IF($B41="",$D41,$B41))))/$B$7)</f>
        <v>0.56975</v>
      </c>
      <c r="G41" s="78" t="n">
        <f aca="false">IF(AND($B41="",$C41=""),"",IF($C41="",$G40,MIN($B$12,MAX(0,$G40+$B$11*($C41-$C40)))))</f>
        <v>0.15</v>
      </c>
      <c r="H41" s="79" t="n">
        <f aca="false">IF(AND($B41="",$C41=""),"",ROUND($B$32*$B$33*$F41*(1-$G41),12))</f>
        <v>0.0944360625</v>
      </c>
      <c r="I41" s="80" t="str">
        <f aca="false">IF(AND($B41="",$C41=""),"",INDEX(Reference!$B$10:$B$14,MATCH($H41,{0,0.05,0.15,0.35,0.6},1)))</f>
        <v>2 · Moderate</v>
      </c>
      <c r="J41" s="81" t="n">
        <f aca="false">IF(AND($B41="",$C41=""),"",$H41-$H40)</f>
        <v>0.0087433125</v>
      </c>
      <c r="K41" s="82" t="str">
        <f aca="false">IF(AND($B41="",$C41=""),"",INDEX(Reference!$D$10:$D$14,MATCH($H41,{0,0.05,0.15,0.35,0.6},1)))</f>
        <v>Low-regret preventive measures</v>
      </c>
    </row>
    <row r="42" customFormat="false" ht="15" hidden="false" customHeight="true" outlineLevel="0" collapsed="false">
      <c r="A42" s="77" t="n">
        <v>4</v>
      </c>
      <c r="B42" s="74"/>
      <c r="C42" s="71"/>
      <c r="D42" s="78" t="str">
        <f aca="false">IF(AND($B42="",$C42=""),"",IF($B42="",($D41+$E41),($D41+$E41)+$B$8*($B42-($D41+$E41))))</f>
        <v/>
      </c>
      <c r="E42" s="79" t="str">
        <f aca="false">IF(AND($B42="",$C42=""),"",IF($B42="",$E41,$E41+$B$9*($B42-($D41+$E41))))</f>
        <v/>
      </c>
      <c r="F42" s="79" t="str">
        <f aca="false">IF(AND($B42="",$C42=""),"",$B$5+($B$6-$B$5)*MAX(0,MIN($B$7,IF($B$13=1,$D42+$B$10*$E42,IF($B42="",$D42,$B42))))/$B$7)</f>
        <v/>
      </c>
      <c r="G42" s="78" t="str">
        <f aca="false">IF(AND($B42="",$C42=""),"",IF($C42="",$G41,MIN($B$12,MAX(0,$G41+$B$11*($C42-$C41)))))</f>
        <v/>
      </c>
      <c r="H42" s="79" t="str">
        <f aca="false">IF(AND($B42="",$C42=""),"",ROUND($B$32*$B$33*$F42*(1-$G42),12))</f>
        <v/>
      </c>
      <c r="I42" s="80" t="str">
        <f aca="false">IF(AND($B42="",$C42=""),"",INDEX(Reference!$B$10:$B$14,MATCH($H42,{0,0.05,0.15,0.35,0.6},1)))</f>
        <v/>
      </c>
      <c r="J42" s="81" t="str">
        <f aca="false">IF(AND($B42="",$C42=""),"",$H42-$H41)</f>
        <v/>
      </c>
      <c r="K42" s="82" t="str">
        <f aca="false">IF(AND($B42="",$C42=""),"",INDEX(Reference!$D$10:$D$14,MATCH($H42,{0,0.05,0.15,0.35,0.6},1)))</f>
        <v/>
      </c>
    </row>
    <row r="43" customFormat="false" ht="15" hidden="false" customHeight="true" outlineLevel="0" collapsed="false">
      <c r="A43" s="77" t="n">
        <v>5</v>
      </c>
      <c r="B43" s="74"/>
      <c r="C43" s="71"/>
      <c r="D43" s="78" t="str">
        <f aca="false">IF(AND($B43="",$C43=""),"",IF($B43="",($D42+$E42),($D42+$E42)+$B$8*($B43-($D42+$E42))))</f>
        <v/>
      </c>
      <c r="E43" s="79" t="str">
        <f aca="false">IF(AND($B43="",$C43=""),"",IF($B43="",$E42,$E42+$B$9*($B43-($D42+$E42))))</f>
        <v/>
      </c>
      <c r="F43" s="79" t="str">
        <f aca="false">IF(AND($B43="",$C43=""),"",$B$5+($B$6-$B$5)*MAX(0,MIN($B$7,IF($B$13=1,$D43+$B$10*$E43,IF($B43="",$D43,$B43))))/$B$7)</f>
        <v/>
      </c>
      <c r="G43" s="78" t="str">
        <f aca="false">IF(AND($B43="",$C43=""),"",IF($C43="",$G42,MIN($B$12,MAX(0,$G42+$B$11*($C43-$C42)))))</f>
        <v/>
      </c>
      <c r="H43" s="79" t="str">
        <f aca="false">IF(AND($B43="",$C43=""),"",ROUND($B$32*$B$33*$F43*(1-$G43),12))</f>
        <v/>
      </c>
      <c r="I43" s="80" t="str">
        <f aca="false">IF(AND($B43="",$C43=""),"",INDEX(Reference!$B$10:$B$14,MATCH($H43,{0,0.05,0.15,0.35,0.6},1)))</f>
        <v/>
      </c>
      <c r="J43" s="81" t="str">
        <f aca="false">IF(AND($B43="",$C43=""),"",$H43-$H42)</f>
        <v/>
      </c>
      <c r="K43" s="82" t="str">
        <f aca="false">IF(AND($B43="",$C43=""),"",INDEX(Reference!$D$10:$D$14,MATCH($H43,{0,0.05,0.15,0.35,0.6},1)))</f>
        <v/>
      </c>
    </row>
    <row r="44" customFormat="false" ht="15" hidden="false" customHeight="true" outlineLevel="0" collapsed="false">
      <c r="A44" s="77" t="n">
        <v>6</v>
      </c>
      <c r="B44" s="74"/>
      <c r="C44" s="71"/>
      <c r="D44" s="78" t="str">
        <f aca="false">IF(AND($B44="",$C44=""),"",IF($B44="",($D43+$E43),($D43+$E43)+$B$8*($B44-($D43+$E43))))</f>
        <v/>
      </c>
      <c r="E44" s="79" t="str">
        <f aca="false">IF(AND($B44="",$C44=""),"",IF($B44="",$E43,$E43+$B$9*($B44-($D43+$E43))))</f>
        <v/>
      </c>
      <c r="F44" s="79" t="str">
        <f aca="false">IF(AND($B44="",$C44=""),"",$B$5+($B$6-$B$5)*MAX(0,MIN($B$7,IF($B$13=1,$D44+$B$10*$E44,IF($B44="",$D44,$B44))))/$B$7)</f>
        <v/>
      </c>
      <c r="G44" s="78" t="str">
        <f aca="false">IF(AND($B44="",$C44=""),"",IF($C44="",$G43,MIN($B$12,MAX(0,$G43+$B$11*($C44-$C43)))))</f>
        <v/>
      </c>
      <c r="H44" s="79" t="str">
        <f aca="false">IF(AND($B44="",$C44=""),"",ROUND($B$32*$B$33*$F44*(1-$G44),12))</f>
        <v/>
      </c>
      <c r="I44" s="80" t="str">
        <f aca="false">IF(AND($B44="",$C44=""),"",INDEX(Reference!$B$10:$B$14,MATCH($H44,{0,0.05,0.15,0.35,0.6},1)))</f>
        <v/>
      </c>
      <c r="J44" s="81" t="str">
        <f aca="false">IF(AND($B44="",$C44=""),"",$H44-$H43)</f>
        <v/>
      </c>
      <c r="K44" s="82" t="str">
        <f aca="false">IF(AND($B44="",$C44=""),"",INDEX(Reference!$D$10:$D$14,MATCH($H44,{0,0.05,0.15,0.35,0.6},1)))</f>
        <v/>
      </c>
    </row>
    <row r="45" customFormat="false" ht="15" hidden="false" customHeight="true" outlineLevel="0" collapsed="false">
      <c r="A45" s="77" t="n">
        <v>7</v>
      </c>
      <c r="B45" s="74"/>
      <c r="C45" s="71"/>
      <c r="D45" s="78" t="str">
        <f aca="false">IF(AND($B45="",$C45=""),"",IF($B45="",($D44+$E44),($D44+$E44)+$B$8*($B45-($D44+$E44))))</f>
        <v/>
      </c>
      <c r="E45" s="79" t="str">
        <f aca="false">IF(AND($B45="",$C45=""),"",IF($B45="",$E44,$E44+$B$9*($B45-($D44+$E44))))</f>
        <v/>
      </c>
      <c r="F45" s="79" t="str">
        <f aca="false">IF(AND($B45="",$C45=""),"",$B$5+($B$6-$B$5)*MAX(0,MIN($B$7,IF($B$13=1,$D45+$B$10*$E45,IF($B45="",$D45,$B45))))/$B$7)</f>
        <v/>
      </c>
      <c r="G45" s="78" t="str">
        <f aca="false">IF(AND($B45="",$C45=""),"",IF($C45="",$G44,MIN($B$12,MAX(0,$G44+$B$11*($C45-$C44)))))</f>
        <v/>
      </c>
      <c r="H45" s="79" t="str">
        <f aca="false">IF(AND($B45="",$C45=""),"",ROUND($B$32*$B$33*$F45*(1-$G45),12))</f>
        <v/>
      </c>
      <c r="I45" s="80" t="str">
        <f aca="false">IF(AND($B45="",$C45=""),"",INDEX(Reference!$B$10:$B$14,MATCH($H45,{0,0.05,0.15,0.35,0.6},1)))</f>
        <v/>
      </c>
      <c r="J45" s="81" t="str">
        <f aca="false">IF(AND($B45="",$C45=""),"",$H45-$H44)</f>
        <v/>
      </c>
      <c r="K45" s="82" t="str">
        <f aca="false">IF(AND($B45="",$C45=""),"",INDEX(Reference!$D$10:$D$14,MATCH($H45,{0,0.05,0.15,0.35,0.6},1)))</f>
        <v/>
      </c>
    </row>
    <row r="46" customFormat="false" ht="15" hidden="false" customHeight="true" outlineLevel="0" collapsed="false">
      <c r="A46" s="67"/>
      <c r="B46" s="67"/>
      <c r="C46" s="67"/>
      <c r="D46" s="67"/>
      <c r="E46" s="67"/>
      <c r="F46" s="67"/>
      <c r="G46" s="67"/>
      <c r="H46" s="67"/>
      <c r="I46" s="67"/>
      <c r="J46" s="67"/>
      <c r="K46" s="67"/>
    </row>
    <row r="47" customFormat="false" ht="15" hidden="false" customHeight="true" outlineLevel="0" collapsed="false">
      <c r="A47" s="69" t="s">
        <v>207</v>
      </c>
      <c r="B47" s="67"/>
      <c r="C47" s="67"/>
      <c r="D47" s="67"/>
      <c r="E47" s="67"/>
      <c r="F47" s="67"/>
      <c r="G47" s="67"/>
      <c r="H47" s="67"/>
      <c r="I47" s="67"/>
      <c r="J47" s="67"/>
      <c r="K47" s="67"/>
    </row>
    <row r="48" customFormat="false" ht="30" hidden="false" customHeight="true" outlineLevel="0" collapsed="false">
      <c r="A48" s="68" t="s">
        <v>208</v>
      </c>
      <c r="B48" s="68"/>
      <c r="C48" s="68"/>
      <c r="D48" s="68"/>
      <c r="E48" s="68"/>
      <c r="F48" s="68"/>
      <c r="G48" s="68"/>
      <c r="H48" s="68"/>
      <c r="I48" s="68"/>
      <c r="J48" s="68"/>
      <c r="K48" s="68"/>
    </row>
    <row r="49" customFormat="false" ht="30" hidden="false" customHeight="true" outlineLevel="0" collapsed="false">
      <c r="A49" s="68" t="s">
        <v>209</v>
      </c>
      <c r="B49" s="68"/>
      <c r="C49" s="68"/>
      <c r="D49" s="68"/>
      <c r="E49" s="68"/>
      <c r="F49" s="68"/>
      <c r="G49" s="68"/>
      <c r="H49" s="68"/>
      <c r="I49" s="68"/>
      <c r="J49" s="68"/>
      <c r="K49" s="68"/>
    </row>
    <row r="50" customFormat="false" ht="30" hidden="false" customHeight="true" outlineLevel="0" collapsed="false">
      <c r="A50" s="68" t="s">
        <v>210</v>
      </c>
      <c r="B50" s="68"/>
      <c r="C50" s="68"/>
      <c r="D50" s="68"/>
      <c r="E50" s="68"/>
      <c r="F50" s="68"/>
      <c r="G50" s="68"/>
      <c r="H50" s="68"/>
      <c r="I50" s="68"/>
      <c r="J50" s="68"/>
      <c r="K50" s="68"/>
    </row>
    <row r="51" customFormat="false" ht="30" hidden="false" customHeight="true" outlineLevel="0" collapsed="false">
      <c r="A51" s="68" t="s">
        <v>211</v>
      </c>
      <c r="B51" s="68"/>
      <c r="C51" s="68"/>
      <c r="D51" s="68"/>
      <c r="E51" s="68"/>
      <c r="F51" s="68"/>
      <c r="G51" s="68"/>
      <c r="H51" s="68"/>
      <c r="I51" s="68"/>
      <c r="J51" s="68"/>
      <c r="K51" s="68"/>
    </row>
    <row r="52" customFormat="false" ht="30" hidden="false" customHeight="true" outlineLevel="0" collapsed="false">
      <c r="A52" s="68" t="s">
        <v>212</v>
      </c>
      <c r="B52" s="68"/>
      <c r="C52" s="68"/>
      <c r="D52" s="68"/>
      <c r="E52" s="68"/>
      <c r="F52" s="68"/>
      <c r="G52" s="68"/>
      <c r="H52" s="68"/>
      <c r="I52" s="68"/>
      <c r="J52" s="68"/>
      <c r="K52" s="68"/>
    </row>
    <row r="53" customFormat="false" ht="15" hidden="false" customHeight="true" outlineLevel="0" collapsed="false">
      <c r="A53" s="68" t="s">
        <v>213</v>
      </c>
      <c r="B53" s="68"/>
      <c r="C53" s="68"/>
      <c r="D53" s="68"/>
      <c r="E53" s="68"/>
      <c r="F53" s="68"/>
      <c r="G53" s="68"/>
      <c r="H53" s="68"/>
      <c r="I53" s="68"/>
      <c r="J53" s="68"/>
      <c r="K53" s="68"/>
    </row>
  </sheetData>
  <mergeCells count="16">
    <mergeCell ref="A2:K2"/>
    <mergeCell ref="C5:K5"/>
    <mergeCell ref="C6:K6"/>
    <mergeCell ref="C7:K7"/>
    <mergeCell ref="C8:K8"/>
    <mergeCell ref="C9:K9"/>
    <mergeCell ref="C10:K10"/>
    <mergeCell ref="C11:K11"/>
    <mergeCell ref="C12:K12"/>
    <mergeCell ref="C13:K13"/>
    <mergeCell ref="A48:K48"/>
    <mergeCell ref="A49:K49"/>
    <mergeCell ref="A50:K50"/>
    <mergeCell ref="A51:K51"/>
    <mergeCell ref="A52:K52"/>
    <mergeCell ref="A53:K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2026-06-03T19:04:57Z</dcterms:created>
  <dc:creator>Cesar Marolla, PhD</dc:creator>
  <dc:description/>
  <dc:language>en-US</dc:language>
  <cp:lastModifiedBy>Dr. Cesar Marolla</cp:lastModifiedBy>
  <dcterms:modified xsi:type="dcterms:W3CDTF">2026-10-11T00:44:45Z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